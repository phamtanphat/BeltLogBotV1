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45" tabRatio="600" firstSheet="0" activeTab="1" autoFilterDateGrouping="1"/>
  </bookViews>
  <sheets>
    <sheet name="Kiểm tra Khay Hành Lý" sheetId="1" state="visible" r:id="rId1"/>
    <sheet name="Nhật kí MDS 2025" sheetId="2" state="visible" r:id="rId2"/>
    <sheet name="Sổ theo dõi CTBT 2025" sheetId="3" state="visible" r:id="rId3"/>
    <sheet name="Sheet3" sheetId="4" state="visible" r:id="rId4"/>
  </sheets>
  <definedNames>
    <definedName name="_xlnm._FilterDatabase" localSheetId="1" hidden="1">'Nhật kí MDS 2025'!$A$1:$M$378</definedName>
    <definedName name="_xlnm._FilterDatabase" localSheetId="2" hidden="1">'Sổ theo dõi CTBT 2025'!$A$3:$P$35</definedName>
  </definedNames>
  <calcPr calcId="162913" fullCalcOnLoad="1"/>
</workbook>
</file>

<file path=xl/styles.xml><?xml version="1.0" encoding="utf-8"?>
<styleSheet xmlns="http://schemas.openxmlformats.org/spreadsheetml/2006/main">
  <numFmts count="2">
    <numFmt numFmtId="164" formatCode="dd\.mm\.yy;@"/>
    <numFmt numFmtId="165" formatCode="00000"/>
  </numFmts>
  <fonts count="16">
    <font>
      <name val="Calibri"/>
      <family val="2"/>
      <color theme="1"/>
      <sz val="11"/>
      <scheme val="minor"/>
    </font>
    <font>
      <name val="Times New Roman"/>
      <family val="1"/>
      <b val="1"/>
      <color rgb="FF002060"/>
      <sz val="14"/>
    </font>
    <font>
      <name val="Times New Roman"/>
      <family val="1"/>
      <color theme="1"/>
      <sz val="14"/>
    </font>
    <font>
      <name val="Times New Roman"/>
      <family val="1"/>
      <color rgb="FFFF0000"/>
      <sz val="14"/>
    </font>
    <font>
      <name val="Times New Roman"/>
      <family val="1"/>
      <b val="1"/>
      <color theme="1"/>
      <sz val="12"/>
    </font>
    <font>
      <name val="Times New Roman"/>
      <family val="1"/>
      <color theme="1"/>
      <sz val="12"/>
    </font>
    <font>
      <name val="Times New Roman"/>
      <family val="1"/>
      <b val="1"/>
      <color rgb="FFC00000"/>
      <sz val="12"/>
      <u val="single"/>
    </font>
    <font>
      <name val="Times New Roman"/>
      <family val="1"/>
      <sz val="14"/>
    </font>
    <font>
      <name val="Calibri"/>
      <family val="2"/>
      <color theme="1"/>
      <sz val="14"/>
      <scheme val="minor"/>
    </font>
    <font>
      <name val="Calibri"/>
      <family val="2"/>
      <color theme="1"/>
      <sz val="20"/>
      <scheme val="minor"/>
    </font>
    <font>
      <name val="Calibri"/>
      <family val="2"/>
      <color theme="1"/>
      <sz val="12"/>
      <scheme val="minor"/>
    </font>
    <font>
      <name val="Segoe UI"/>
      <family val="2"/>
      <color rgb="FF081B3A"/>
      <sz val="11"/>
    </font>
    <font>
      <name val="Tahoma"/>
      <family val="2"/>
      <color indexed="81"/>
      <sz val="9"/>
    </font>
    <font>
      <name val="Tahoma"/>
      <family val="2"/>
      <b val="1"/>
      <color indexed="81"/>
      <sz val="9"/>
    </font>
    <font>
      <name val="Calibri"/>
      <family val="2"/>
      <b val="1"/>
      <color theme="1"/>
      <sz val="14"/>
      <scheme val="minor"/>
    </font>
    <font>
      <name val="Times New Roman"/>
      <family val="1"/>
      <color rgb="FF7030A0"/>
      <sz val="14"/>
    </font>
  </fonts>
  <fills count="12">
    <fill>
      <patternFill/>
    </fill>
    <fill>
      <patternFill patternType="gray125"/>
    </fill>
    <fill>
      <patternFill patternType="solid">
        <fgColor theme="9"/>
        <bgColor indexed="64"/>
      </patternFill>
    </fill>
    <fill>
      <patternFill patternType="solid">
        <fgColor theme="0"/>
        <bgColor indexed="64"/>
      </patternFill>
    </fill>
    <fill>
      <patternFill patternType="solid">
        <fgColor theme="9" tint="0.7999816888943144"/>
        <bgColor indexed="64"/>
      </patternFill>
    </fill>
    <fill>
      <patternFill patternType="solid">
        <fgColor rgb="FFFFC000"/>
        <bgColor indexed="64"/>
      </patternFill>
    </fill>
    <fill>
      <patternFill patternType="solid">
        <fgColor rgb="FF00B050"/>
        <bgColor indexed="64"/>
      </patternFill>
    </fill>
    <fill>
      <patternFill patternType="solid">
        <fgColor theme="2"/>
        <bgColor indexed="64"/>
      </patternFill>
    </fill>
    <fill>
      <patternFill patternType="solid">
        <fgColor rgb="FFFFFF00"/>
        <bgColor indexed="64"/>
      </patternFill>
    </fill>
    <fill>
      <patternFill patternType="solid">
        <fgColor theme="4"/>
        <bgColor indexed="64"/>
      </patternFill>
    </fill>
    <fill>
      <patternFill patternType="solid">
        <fgColor theme="7" tint="0.7999816888943144"/>
        <bgColor indexed="64"/>
      </patternFill>
    </fill>
    <fill>
      <patternFill patternType="solid">
        <fgColor theme="4" tint="0.799981688894314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s>
  <cellStyleXfs count="1">
    <xf numFmtId="0" fontId="0" fillId="0" borderId="0"/>
  </cellStyleXfs>
  <cellXfs count="260">
    <xf numFmtId="0" fontId="0"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vertical="top" wrapText="1"/>
    </xf>
    <xf numFmtId="0" fontId="5" fillId="0" borderId="0" applyAlignment="1" pivotButton="0" quotePrefix="0" xfId="0">
      <alignment horizontal="left" vertical="center" wrapText="1"/>
    </xf>
    <xf numFmtId="0" fontId="4" fillId="0" borderId="5" applyAlignment="1" pivotButton="0" quotePrefix="0" xfId="0">
      <alignment horizontal="center" vertical="center" wrapText="1"/>
    </xf>
    <xf numFmtId="0" fontId="6" fillId="0" borderId="0" applyAlignment="1" pivotButton="0" quotePrefix="0" xfId="0">
      <alignment vertical="top" wrapText="1"/>
    </xf>
    <xf numFmtId="0" fontId="4" fillId="0" borderId="11" applyAlignment="1" pivotButton="0" quotePrefix="0" xfId="0">
      <alignment horizontal="center" vertical="center" wrapText="1"/>
    </xf>
    <xf numFmtId="0" fontId="4" fillId="5" borderId="11" applyAlignment="1" pivotButton="0" quotePrefix="0" xfId="0">
      <alignment horizontal="center" vertical="center" wrapText="1"/>
    </xf>
    <xf numFmtId="164" fontId="1" fillId="2" borderId="10" applyAlignment="1" pivotButton="0" quotePrefix="0" xfId="0">
      <alignment horizontal="center" vertical="center" wrapText="1"/>
    </xf>
    <xf numFmtId="49" fontId="1" fillId="2" borderId="10" applyAlignment="1" pivotButton="0" quotePrefix="0" xfId="0">
      <alignment horizontal="center" vertical="center" wrapText="1"/>
    </xf>
    <xf numFmtId="165" fontId="1" fillId="2" borderId="10" applyAlignment="1" pivotButton="0" quotePrefix="0" xfId="0">
      <alignment horizontal="center" vertical="center" wrapText="1"/>
    </xf>
    <xf numFmtId="0" fontId="1" fillId="2" borderId="10" applyAlignment="1" pivotButton="0" quotePrefix="0" xfId="0">
      <alignment horizontal="center" vertical="center" wrapText="1"/>
    </xf>
    <xf numFmtId="2" fontId="1" fillId="2" borderId="10"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5" applyAlignment="1" pivotButton="0" quotePrefix="0" xfId="0">
      <alignment horizontal="center" vertical="center" wrapText="1"/>
    </xf>
    <xf numFmtId="0" fontId="4" fillId="6" borderId="11" applyAlignment="1" pivotButton="0" quotePrefix="0" xfId="0">
      <alignment horizontal="center" vertical="center" wrapText="1"/>
    </xf>
    <xf numFmtId="0" fontId="4" fillId="0" borderId="11" applyAlignment="1" pivotButton="0" quotePrefix="0" xfId="0">
      <alignment horizontal="center" vertical="center" wrapText="1"/>
    </xf>
    <xf numFmtId="14" fontId="5" fillId="0" borderId="1" applyAlignment="1" pivotButton="0" quotePrefix="0" xfId="0">
      <alignment horizontal="center" vertical="center"/>
    </xf>
    <xf numFmtId="0" fontId="2" fillId="0" borderId="1" applyAlignment="1" pivotButton="0" quotePrefix="0" xfId="0">
      <alignment vertical="center"/>
    </xf>
    <xf numFmtId="1" fontId="0" fillId="0" borderId="0" pivotButton="0" quotePrefix="0" xfId="0"/>
    <xf numFmtId="0" fontId="0" fillId="0" borderId="0" pivotButton="0" quotePrefix="0" xfId="0"/>
    <xf numFmtId="0" fontId="2" fillId="5" borderId="1" applyAlignment="1" pivotButton="0" quotePrefix="0" xfId="0">
      <alignment horizontal="center" vertical="center"/>
    </xf>
    <xf numFmtId="0" fontId="2" fillId="8" borderId="1" applyAlignment="1" pivotButton="0" quotePrefix="0" xfId="0">
      <alignment horizontal="center" vertical="center"/>
    </xf>
    <xf numFmtId="1" fontId="2" fillId="9" borderId="1" applyAlignment="1" pivotButton="0" quotePrefix="0" xfId="0">
      <alignment horizontal="center" vertical="center"/>
    </xf>
    <xf numFmtId="0" fontId="0" fillId="2" borderId="0" applyAlignment="1" pivotButton="0" quotePrefix="0" xfId="0">
      <alignment horizontal="center" vertical="center"/>
    </xf>
    <xf numFmtId="16" fontId="0" fillId="0" borderId="0" pivotButton="0" quotePrefix="0" xfId="0"/>
    <xf numFmtId="0" fontId="5" fillId="0" borderId="1" pivotButton="0" quotePrefix="0" xfId="0"/>
    <xf numFmtId="0" fontId="2" fillId="0" borderId="1" applyAlignment="1" pivotButton="0" quotePrefix="0" xfId="0">
      <alignment horizontal="left" vertical="top"/>
    </xf>
    <xf numFmtId="14" fontId="5" fillId="0" borderId="1" applyAlignment="1" pivotButton="0" quotePrefix="0" xfId="0">
      <alignment horizontal="left" vertical="top" wrapText="1"/>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0" borderId="1" applyAlignment="1" pivotButton="0" quotePrefix="0" xfId="0">
      <alignment horizontal="center" vertical="center"/>
    </xf>
    <xf numFmtId="0" fontId="5" fillId="0" borderId="1" applyAlignment="1" pivotButton="0" quotePrefix="0" xfId="0">
      <alignment wrapText="1"/>
    </xf>
    <xf numFmtId="0" fontId="5" fillId="0" borderId="1" applyAlignment="1" pivotButton="0" quotePrefix="0" xfId="0">
      <alignment vertical="top" wrapText="1"/>
    </xf>
    <xf numFmtId="0" fontId="2" fillId="0" borderId="0" applyAlignment="1" pivotButton="0" quotePrefix="0" xfId="0">
      <alignment vertical="center"/>
    </xf>
    <xf numFmtId="0" fontId="2" fillId="0" borderId="1" applyAlignment="1" pivotButton="0" quotePrefix="0" xfId="0">
      <alignment vertical="top"/>
    </xf>
    <xf numFmtId="0" fontId="5" fillId="0" borderId="1" applyAlignment="1" pivotButton="0" quotePrefix="0" xfId="0">
      <alignment vertical="center"/>
    </xf>
    <xf numFmtId="0" fontId="2" fillId="0" borderId="4" applyAlignment="1" pivotButton="0" quotePrefix="0" xfId="0">
      <alignment vertical="top" wrapText="1"/>
    </xf>
    <xf numFmtId="0" fontId="2" fillId="0" borderId="1" applyAlignment="1" pivotButton="0" quotePrefix="0" xfId="0">
      <alignment vertical="top" wrapText="1"/>
    </xf>
    <xf numFmtId="0" fontId="2" fillId="0" borderId="12" applyAlignment="1" pivotButton="0" quotePrefix="0" xfId="0">
      <alignment vertical="top"/>
    </xf>
    <xf numFmtId="11" fontId="1" fillId="2" borderId="10" applyAlignment="1" pivotButton="0" quotePrefix="0" xfId="0">
      <alignment horizontal="center" vertical="center" wrapText="1"/>
    </xf>
    <xf numFmtId="0" fontId="8" fillId="0" borderId="0" pivotButton="0" quotePrefix="0" xfId="0"/>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5" fillId="0" borderId="1" applyAlignment="1" pivotButton="0" quotePrefix="0" xfId="0">
      <alignment vertical="center" wrapText="1"/>
    </xf>
    <xf numFmtId="0" fontId="5" fillId="0" borderId="1" applyAlignment="1" pivotButton="0" quotePrefix="0" xfId="0">
      <alignment horizontal="left" vertical="center"/>
    </xf>
    <xf numFmtId="3" fontId="1" fillId="2" borderId="10" applyAlignment="1" pivotButton="0" quotePrefix="0" xfId="0">
      <alignment horizontal="center" vertical="center" wrapText="1"/>
    </xf>
    <xf numFmtId="3" fontId="1" fillId="2" borderId="9" applyAlignment="1" pivotButton="0" quotePrefix="0" xfId="0">
      <alignment horizontal="center" vertical="center" wrapText="1"/>
    </xf>
    <xf numFmtId="3" fontId="2" fillId="3" borderId="12" applyAlignment="1" pivotButton="0" quotePrefix="0" xfId="0">
      <alignment horizontal="left" vertical="top" wrapText="1"/>
    </xf>
    <xf numFmtId="3" fontId="2" fillId="0" borderId="4" applyAlignment="1" pivotButton="0" quotePrefix="0" xfId="0">
      <alignment horizontal="left" vertical="top" wrapText="1"/>
    </xf>
    <xf numFmtId="3" fontId="2" fillId="3" borderId="13" applyAlignment="1" pivotButton="0" quotePrefix="0" xfId="0">
      <alignment horizontal="left" vertical="top" wrapText="1"/>
    </xf>
    <xf numFmtId="3" fontId="2" fillId="0" borderId="1" applyAlignment="1" pivotButton="0" quotePrefix="0" xfId="0">
      <alignment horizontal="left" vertical="top" wrapText="1"/>
    </xf>
    <xf numFmtId="3" fontId="7" fillId="3" borderId="13" applyAlignment="1" pivotButton="0" quotePrefix="0" xfId="0">
      <alignment horizontal="left" vertical="top" wrapText="1"/>
    </xf>
    <xf numFmtId="3" fontId="3" fillId="3" borderId="13" applyAlignment="1" pivotButton="0" quotePrefix="0" xfId="0">
      <alignment horizontal="left" vertical="top" wrapText="1"/>
    </xf>
    <xf numFmtId="3" fontId="2" fillId="0" borderId="13" applyAlignment="1" pivotButton="0" quotePrefix="0" xfId="0">
      <alignment horizontal="left" vertical="top"/>
    </xf>
    <xf numFmtId="3" fontId="2" fillId="0" borderId="1" applyAlignment="1" pivotButton="0" quotePrefix="0" xfId="0">
      <alignment horizontal="left" vertical="top"/>
    </xf>
    <xf numFmtId="3" fontId="7" fillId="3" borderId="1" applyAlignment="1" pivotButton="0" quotePrefix="0" xfId="0">
      <alignment horizontal="left" vertical="top" wrapText="1"/>
    </xf>
    <xf numFmtId="3" fontId="2" fillId="0" borderId="1" applyAlignment="1" pivotButton="0" quotePrefix="0" xfId="0">
      <alignment horizontal="left" vertical="top" wrapText="1"/>
    </xf>
    <xf numFmtId="3" fontId="2" fillId="0" borderId="0" applyAlignment="1" pivotButton="0" quotePrefix="0" xfId="0">
      <alignment horizontal="left" vertical="top"/>
    </xf>
    <xf numFmtId="0" fontId="0" fillId="0" borderId="0" applyAlignment="1" pivotButton="0" quotePrefix="0" xfId="0">
      <alignment horizontal="center" vertical="center"/>
    </xf>
    <xf numFmtId="0" fontId="5" fillId="0" borderId="1" applyAlignment="1" pivotButton="0" quotePrefix="0" xfId="0">
      <alignment vertical="center" wrapText="1"/>
    </xf>
    <xf numFmtId="0" fontId="10" fillId="0" borderId="1" pivotButton="0" quotePrefix="0" xfId="0"/>
    <xf numFmtId="0" fontId="5" fillId="0" borderId="1" applyAlignment="1" pivotButton="0" quotePrefix="0" xfId="0">
      <alignment horizontal="left" vertical="center" wrapText="1"/>
    </xf>
    <xf numFmtId="0" fontId="10" fillId="0" borderId="1" applyAlignment="1" pivotButton="0" quotePrefix="0" xfId="0">
      <alignment wrapText="1"/>
    </xf>
    <xf numFmtId="14" fontId="10" fillId="0" borderId="1" applyAlignment="1" pivotButton="0" quotePrefix="0" xfId="0">
      <alignment horizontal="center" vertical="center"/>
    </xf>
    <xf numFmtId="0" fontId="10" fillId="0" borderId="1" applyAlignment="1" pivotButton="0" quotePrefix="0" xfId="0">
      <alignment horizontal="center" vertical="center"/>
    </xf>
    <xf numFmtId="0" fontId="5" fillId="0" borderId="3" applyAlignment="1" pivotButton="0" quotePrefix="0" xfId="0">
      <alignment horizontal="center" vertical="center" wrapText="1"/>
    </xf>
    <xf numFmtId="3" fontId="3" fillId="0" borderId="1" applyAlignment="1" pivotButton="0" quotePrefix="0" xfId="0">
      <alignment horizontal="left" vertical="top" wrapText="1"/>
    </xf>
    <xf numFmtId="3" fontId="7" fillId="0" borderId="1" applyAlignment="1" pivotButton="0" quotePrefix="0" xfId="0">
      <alignment horizontal="left" vertical="top" wrapText="1"/>
    </xf>
    <xf numFmtId="0" fontId="0" fillId="0" borderId="0" applyAlignment="1" pivotButton="0" quotePrefix="0" xfId="0">
      <alignment horizontal="center"/>
    </xf>
    <xf numFmtId="0" fontId="0" fillId="0" borderId="1" pivotButton="0" quotePrefix="0" xfId="0"/>
    <xf numFmtId="0" fontId="10" fillId="0" borderId="1" applyAlignment="1" pivotButton="0" quotePrefix="0" xfId="0">
      <alignment wrapText="1"/>
    </xf>
    <xf numFmtId="0" fontId="0" fillId="0" borderId="1" applyAlignment="1" pivotButton="0" quotePrefix="0" xfId="0">
      <alignment wrapText="1"/>
    </xf>
    <xf numFmtId="0" fontId="4" fillId="0" borderId="0" applyAlignment="1" pivotButton="0" quotePrefix="0" xfId="0">
      <alignment horizontal="center" wrapText="1"/>
    </xf>
    <xf numFmtId="0" fontId="5" fillId="0" borderId="0" applyAlignment="1" pivotButton="0" quotePrefix="0" xfId="0">
      <alignment horizontal="center" wrapText="1"/>
    </xf>
    <xf numFmtId="0" fontId="4" fillId="0" borderId="11" applyAlignment="1" pivotButton="0" quotePrefix="0" xfId="0">
      <alignment horizontal="center" wrapText="1"/>
    </xf>
    <xf numFmtId="0" fontId="4" fillId="0" borderId="5" applyAlignment="1" pivotButton="0" quotePrefix="0" xfId="0">
      <alignment horizontal="center" wrapText="1"/>
    </xf>
    <xf numFmtId="0" fontId="5" fillId="0" borderId="1" applyAlignment="1" pivotButton="0" quotePrefix="0" xfId="0">
      <alignment horizontal="center"/>
    </xf>
    <xf numFmtId="14" fontId="5" fillId="0" borderId="1" applyAlignment="1" pivotButton="0" quotePrefix="0" xfId="0">
      <alignment horizontal="center" wrapText="1"/>
    </xf>
    <xf numFmtId="0" fontId="5" fillId="0" borderId="1" applyAlignment="1" pivotButton="0" quotePrefix="0" xfId="0">
      <alignment horizontal="center" wrapText="1"/>
    </xf>
    <xf numFmtId="0" fontId="10" fillId="0" borderId="1" applyAlignment="1" pivotButton="0" quotePrefix="0" xfId="0">
      <alignment horizontal="center"/>
    </xf>
    <xf numFmtId="3" fontId="2" fillId="8" borderId="1" applyAlignment="1" pivotButton="0" quotePrefix="0" xfId="0">
      <alignment horizontal="left" vertical="top" wrapText="1"/>
    </xf>
    <xf numFmtId="0" fontId="2" fillId="8" borderId="1" applyAlignment="1" pivotButton="0" quotePrefix="0" xfId="0">
      <alignment vertical="top"/>
    </xf>
    <xf numFmtId="0" fontId="8" fillId="8" borderId="0" pivotButton="0" quotePrefix="0" xfId="0"/>
    <xf numFmtId="3" fontId="1" fillId="10" borderId="17" applyAlignment="1" pivotButton="0" quotePrefix="0" xfId="0">
      <alignment horizontal="center" vertical="center" wrapText="1"/>
    </xf>
    <xf numFmtId="3" fontId="8" fillId="10" borderId="18" applyAlignment="1" pivotButton="0" quotePrefix="0" xfId="0">
      <alignment horizontal="center" vertical="center"/>
    </xf>
    <xf numFmtId="3" fontId="1" fillId="11" borderId="10" applyAlignment="1" pivotButton="0" quotePrefix="0" xfId="0">
      <alignment horizontal="center" vertical="center" wrapText="1"/>
    </xf>
    <xf numFmtId="3" fontId="8" fillId="11" borderId="0"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horizontal="center" vertical="center"/>
    </xf>
    <xf numFmtId="14" fontId="0" fillId="0" borderId="3" pivotButton="0" quotePrefix="0" xfId="0"/>
    <xf numFmtId="0" fontId="5" fillId="0" borderId="3" applyAlignment="1" pivotButton="0" quotePrefix="0" xfId="0">
      <alignment vertical="center" wrapText="1"/>
    </xf>
    <xf numFmtId="0" fontId="0" fillId="0" borderId="3" applyAlignment="1" pivotButton="0" quotePrefix="0" xfId="0">
      <alignment horizontal="center"/>
    </xf>
    <xf numFmtId="0" fontId="0" fillId="0" borderId="3" pivotButton="0" quotePrefix="0" xfId="0"/>
    <xf numFmtId="0" fontId="0" fillId="0" borderId="3" applyAlignment="1" pivotButton="0" quotePrefix="0" xfId="0">
      <alignment horizontal="center" vertical="center"/>
    </xf>
    <xf numFmtId="0" fontId="0" fillId="0" borderId="1" applyAlignment="1" pivotButton="0" quotePrefix="0" xfId="0">
      <alignment vertical="center"/>
    </xf>
    <xf numFmtId="14" fontId="0" fillId="0" borderId="3"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3" applyAlignment="1" pivotButton="0" quotePrefix="0" xfId="0">
      <alignment vertical="center" wrapText="1"/>
    </xf>
    <xf numFmtId="0" fontId="0" fillId="0" borderId="1" applyAlignment="1" pivotButton="0" quotePrefix="0" xfId="0">
      <alignment vertical="top" wrapText="1"/>
    </xf>
    <xf numFmtId="0" fontId="0" fillId="0" borderId="3" applyAlignment="1" pivotButton="0" quotePrefix="0" xfId="0">
      <alignment vertical="center"/>
    </xf>
    <xf numFmtId="0" fontId="11" fillId="0" borderId="0" applyAlignment="1" pivotButton="0" quotePrefix="0" xfId="0">
      <alignment vertical="center" wrapText="1"/>
    </xf>
    <xf numFmtId="14" fontId="0" fillId="0" borderId="4" applyAlignment="1" pivotButton="0" quotePrefix="0" xfId="0">
      <alignment horizontal="center" vertical="center"/>
    </xf>
    <xf numFmtId="14" fontId="0" fillId="0" borderId="1" applyAlignment="1" pivotButton="0" quotePrefix="0" xfId="0">
      <alignment horizontal="center" vertical="center"/>
    </xf>
    <xf numFmtId="14" fontId="0" fillId="0" borderId="7" applyAlignment="1" pivotButton="0" quotePrefix="0" xfId="0">
      <alignment horizontal="center" vertical="center"/>
    </xf>
    <xf numFmtId="14"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11" fillId="0" borderId="3" applyAlignment="1" pivotButton="0" quotePrefix="0" xfId="0">
      <alignment vertical="center" wrapText="1"/>
    </xf>
    <xf numFmtId="0" fontId="0" fillId="0" borderId="3"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horizontal="left" vertical="top" wrapText="1"/>
    </xf>
    <xf numFmtId="3" fontId="2" fillId="0" borderId="1" applyAlignment="1" pivotButton="0" quotePrefix="0" xfId="0">
      <alignment vertical="top" wrapText="1"/>
    </xf>
    <xf numFmtId="0" fontId="0" fillId="0" borderId="3" applyAlignment="1" pivotButton="0" quotePrefix="0" xfId="0">
      <alignment horizontal="center" vertical="center"/>
    </xf>
    <xf numFmtId="0" fontId="0" fillId="0" borderId="1" applyAlignment="1" pivotButton="0" quotePrefix="0" xfId="0">
      <alignment horizontal="center" vertical="center"/>
    </xf>
    <xf numFmtId="0" fontId="0" fillId="0" borderId="3" pivotButton="0" quotePrefix="0" xfId="0"/>
    <xf numFmtId="14" fontId="0" fillId="0" borderId="1" applyAlignment="1" pivotButton="0" quotePrefix="0" xfId="0">
      <alignment vertical="center"/>
    </xf>
    <xf numFmtId="0" fontId="2" fillId="0" borderId="3" applyAlignment="1" pivotButton="0" quotePrefix="0" xfId="0">
      <alignment vertical="center"/>
    </xf>
    <xf numFmtId="0" fontId="0" fillId="0" borderId="1" applyAlignment="1" pivotButton="0" quotePrefix="0" xfId="0">
      <alignment horizontal="center" vertical="center"/>
    </xf>
    <xf numFmtId="3" fontId="8" fillId="11" borderId="3" applyAlignment="1" pivotButton="0" quotePrefix="0" xfId="0">
      <alignment horizontal="center" vertical="center"/>
    </xf>
    <xf numFmtId="3" fontId="8" fillId="10" borderId="3" applyAlignment="1" pivotButton="0" quotePrefix="0" xfId="0">
      <alignment horizontal="center" vertical="center"/>
    </xf>
    <xf numFmtId="0" fontId="8" fillId="0" borderId="3" applyAlignment="1" pivotButton="0" quotePrefix="0" xfId="0">
      <alignment horizontal="center" vertical="center"/>
    </xf>
    <xf numFmtId="0" fontId="0" fillId="0" borderId="1" applyAlignment="1" pivotButton="0" quotePrefix="0" xfId="0">
      <alignment horizontal="center" vertical="center"/>
    </xf>
    <xf numFmtId="14" fontId="0" fillId="0" borderId="1" applyAlignment="1" pivotButton="0" quotePrefix="0" xfId="0">
      <alignment horizontal="left" vertical="center"/>
    </xf>
    <xf numFmtId="14" fontId="0" fillId="0" borderId="4" applyAlignment="1" pivotButton="0" quotePrefix="0" xfId="0">
      <alignment horizontal="left" vertical="center"/>
    </xf>
    <xf numFmtId="14" fontId="0" fillId="0" borderId="1" applyAlignment="1" pivotButton="0" quotePrefix="0" xfId="0">
      <alignment horizontal="left"/>
    </xf>
    <xf numFmtId="14" fontId="8" fillId="0" borderId="3" applyAlignment="1" pivotButton="0" quotePrefix="0" xfId="0">
      <alignment horizontal="center" vertical="center"/>
    </xf>
    <xf numFmtId="1" fontId="2" fillId="0" borderId="1" applyAlignment="1" pivotButton="0" quotePrefix="0" xfId="0">
      <alignment horizontal="center"/>
    </xf>
    <xf numFmtId="3" fontId="8" fillId="11" borderId="3" applyAlignment="1" pivotButton="0" quotePrefix="0" xfId="0">
      <alignment horizontal="center" vertical="center"/>
    </xf>
    <xf numFmtId="3" fontId="8" fillId="11" borderId="4" applyAlignment="1" pivotButton="0" quotePrefix="0" xfId="0">
      <alignment horizontal="center" vertical="center"/>
    </xf>
    <xf numFmtId="3" fontId="8" fillId="10" borderId="3" applyAlignment="1" pivotButton="0" quotePrefix="0" xfId="0">
      <alignment horizontal="center" vertical="center"/>
    </xf>
    <xf numFmtId="3" fontId="8" fillId="10" borderId="4" applyAlignment="1" pivotButton="0" quotePrefix="0" xfId="0">
      <alignment horizontal="center" vertical="center"/>
    </xf>
    <xf numFmtId="0" fontId="2" fillId="0" borderId="1" applyAlignment="1" pivotButton="0" quotePrefix="0" xfId="0">
      <alignment horizontal="center" vertical="center" wrapText="1"/>
    </xf>
    <xf numFmtId="1" fontId="9" fillId="7" borderId="0" applyAlignment="1" pivotButton="0" quotePrefix="0" xfId="0">
      <alignment horizontal="center"/>
    </xf>
    <xf numFmtId="3" fontId="2" fillId="11" borderId="3" applyAlignment="1" pivotButton="0" quotePrefix="0" xfId="0">
      <alignment horizontal="center" vertical="center"/>
    </xf>
    <xf numFmtId="3" fontId="2" fillId="11" borderId="4" applyAlignment="1" pivotButton="0" quotePrefix="0" xfId="0">
      <alignment horizontal="center" vertical="center"/>
    </xf>
    <xf numFmtId="3" fontId="2" fillId="10" borderId="3" applyAlignment="1" pivotButton="0" quotePrefix="0" xfId="0">
      <alignment horizontal="center" vertical="center"/>
    </xf>
    <xf numFmtId="3" fontId="2" fillId="10" borderId="4" applyAlignment="1" pivotButton="0" quotePrefix="0" xfId="0">
      <alignment horizontal="center" vertical="center"/>
    </xf>
    <xf numFmtId="3" fontId="8" fillId="11" borderId="1" applyAlignment="1" pivotButton="0" quotePrefix="0" xfId="0">
      <alignment horizontal="center" vertical="center"/>
    </xf>
    <xf numFmtId="3" fontId="8" fillId="10" borderId="1" applyAlignment="1" pivotButton="0" quotePrefix="0" xfId="0">
      <alignment horizontal="center" vertical="center"/>
    </xf>
    <xf numFmtId="14" fontId="8" fillId="0" borderId="3" applyAlignment="1" pivotButton="0" quotePrefix="0" xfId="0">
      <alignment horizontal="center" vertical="center"/>
    </xf>
    <xf numFmtId="14" fontId="8" fillId="0" borderId="4" applyAlignment="1" pivotButton="0" quotePrefix="0" xfId="0">
      <alignment horizontal="center" vertical="center"/>
    </xf>
    <xf numFmtId="0" fontId="8" fillId="0" borderId="3" applyAlignment="1" pivotButton="0" quotePrefix="0" xfId="0">
      <alignment horizontal="center" vertical="center"/>
    </xf>
    <xf numFmtId="0" fontId="8" fillId="0" borderId="4" applyAlignment="1" pivotButton="0" quotePrefix="0" xfId="0">
      <alignment horizontal="center" vertical="center"/>
    </xf>
    <xf numFmtId="14" fontId="2" fillId="0" borderId="3" applyAlignment="1" pivotButton="0" quotePrefix="0" xfId="0">
      <alignment horizontal="center" vertical="center" wrapText="1"/>
    </xf>
    <xf numFmtId="14" fontId="2" fillId="0" borderId="4" applyAlignment="1" pivotButton="0" quotePrefix="0" xfId="0">
      <alignment horizontal="center" vertical="center" wrapText="1"/>
    </xf>
    <xf numFmtId="14" fontId="2" fillId="0" borderId="2" applyAlignment="1" pivotButton="0" quotePrefix="0" xfId="0">
      <alignment horizontal="center" vertical="center" wrapText="1"/>
    </xf>
    <xf numFmtId="0" fontId="8" fillId="0" borderId="1" applyAlignment="1" pivotButton="0" quotePrefix="0" xfId="0">
      <alignment horizontal="center" vertical="center"/>
    </xf>
    <xf numFmtId="14" fontId="2" fillId="0" borderId="15" applyAlignment="1" pivotButton="0" quotePrefix="0" xfId="0">
      <alignment horizontal="center" vertical="center" wrapText="1"/>
    </xf>
    <xf numFmtId="14" fontId="2" fillId="0" borderId="1" applyAlignment="1" pivotButton="0" quotePrefix="0" xfId="0">
      <alignment horizontal="center" vertical="center" wrapText="1"/>
    </xf>
    <xf numFmtId="0" fontId="8" fillId="3" borderId="3" applyAlignment="1" pivotButton="0" quotePrefix="0" xfId="0">
      <alignment horizontal="center" vertical="center"/>
    </xf>
    <xf numFmtId="0" fontId="8" fillId="3" borderId="4"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3" fontId="2" fillId="10" borderId="3" applyAlignment="1" pivotButton="0" quotePrefix="0" xfId="0">
      <alignment horizontal="center" vertical="center" wrapText="1"/>
    </xf>
    <xf numFmtId="3" fontId="2" fillId="10" borderId="7" applyAlignment="1" pivotButton="0" quotePrefix="0" xfId="0">
      <alignment horizontal="center" vertical="center" wrapText="1"/>
    </xf>
    <xf numFmtId="3" fontId="2" fillId="11" borderId="6" applyAlignment="1" pivotButton="0" quotePrefix="0" xfId="0">
      <alignment horizontal="center" vertical="center" wrapText="1"/>
    </xf>
    <xf numFmtId="3" fontId="2" fillId="11" borderId="4" applyAlignment="1" pivotButton="0" quotePrefix="0" xfId="0">
      <alignment horizontal="center" vertical="center" wrapText="1"/>
    </xf>
    <xf numFmtId="3" fontId="2" fillId="10" borderId="6" applyAlignment="1" pivotButton="0" quotePrefix="0" xfId="0">
      <alignment horizontal="center" vertical="center" wrapText="1"/>
    </xf>
    <xf numFmtId="3" fontId="2" fillId="10" borderId="4" applyAlignment="1" pivotButton="0" quotePrefix="0" xfId="0">
      <alignment horizontal="center" vertical="center" wrapText="1"/>
    </xf>
    <xf numFmtId="49" fontId="2" fillId="0" borderId="3" applyAlignment="1" pivotButton="0" quotePrefix="0" xfId="0">
      <alignment horizontal="center" vertical="center" wrapText="1"/>
    </xf>
    <xf numFmtId="49" fontId="2" fillId="0" borderId="4" applyAlignment="1" pivotButton="0" quotePrefix="0" xfId="0">
      <alignment horizontal="center" vertical="center" wrapText="1"/>
    </xf>
    <xf numFmtId="165" fontId="2" fillId="0" borderId="3" applyAlignment="1" pivotButton="0" quotePrefix="0" xfId="0">
      <alignment horizontal="center" vertical="center" wrapText="1"/>
    </xf>
    <xf numFmtId="165" fontId="2" fillId="0" borderId="4"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49" fontId="2" fillId="0" borderId="7" applyAlignment="1" pivotButton="0" quotePrefix="0" xfId="0">
      <alignment horizontal="center" vertical="center" wrapText="1"/>
    </xf>
    <xf numFmtId="165" fontId="2" fillId="0" borderId="7" applyAlignment="1" pivotButton="0" quotePrefix="0" xfId="0">
      <alignment horizontal="center" vertical="center" wrapText="1"/>
    </xf>
    <xf numFmtId="3" fontId="2" fillId="11" borderId="3" applyAlignment="1" pivotButton="0" quotePrefix="0" xfId="0">
      <alignment horizontal="center" vertical="center" wrapText="1"/>
    </xf>
    <xf numFmtId="3" fontId="2" fillId="11" borderId="7"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3" applyAlignment="1" pivotButton="0" quotePrefix="0" xfId="0">
      <alignment horizontal="center" vertical="center" wrapText="1"/>
    </xf>
    <xf numFmtId="3" fontId="2" fillId="11" borderId="16" applyAlignment="1" pivotButton="0" quotePrefix="0" xfId="0">
      <alignment horizontal="center" vertical="center" wrapText="1"/>
    </xf>
    <xf numFmtId="3" fontId="2" fillId="11" borderId="8" applyAlignment="1" pivotButton="0" quotePrefix="0" xfId="0">
      <alignment horizontal="center" vertical="center" wrapText="1"/>
    </xf>
    <xf numFmtId="3" fontId="2" fillId="10" borderId="16" applyAlignment="1" pivotButton="0" quotePrefix="0" xfId="0">
      <alignment horizontal="center" vertical="center" wrapText="1"/>
    </xf>
    <xf numFmtId="3" fontId="2" fillId="10" borderId="8" applyAlignment="1" pivotButton="0" quotePrefix="0" xfId="0">
      <alignment horizontal="center" vertical="center" wrapText="1"/>
    </xf>
    <xf numFmtId="49" fontId="2" fillId="0" borderId="15" applyAlignment="1" pivotButton="0" quotePrefix="0" xfId="0">
      <alignment horizontal="center" vertical="center" wrapText="1"/>
    </xf>
    <xf numFmtId="49" fontId="2" fillId="0" borderId="14" applyAlignment="1" pivotButton="0" quotePrefix="0" xfId="0">
      <alignment horizontal="center" vertical="center" wrapText="1"/>
    </xf>
    <xf numFmtId="49" fontId="2" fillId="0" borderId="16" applyAlignment="1" pivotButton="0" quotePrefix="0" xfId="0">
      <alignment horizontal="center" vertical="center" wrapText="1"/>
    </xf>
    <xf numFmtId="49" fontId="2" fillId="0" borderId="8" applyAlignment="1" pivotButton="0" quotePrefix="0" xfId="0">
      <alignment horizontal="center" vertical="center" wrapText="1"/>
    </xf>
    <xf numFmtId="165" fontId="2" fillId="0" borderId="16" applyAlignment="1" pivotButton="0" quotePrefix="0" xfId="0">
      <alignment horizontal="center" vertical="center" wrapText="1"/>
    </xf>
    <xf numFmtId="165" fontId="2" fillId="0" borderId="8"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8" applyAlignment="1" pivotButton="0" quotePrefix="0" xfId="0">
      <alignment horizontal="center" vertical="center" wrapText="1"/>
    </xf>
    <xf numFmtId="49" fontId="2" fillId="0" borderId="1" applyAlignment="1" pivotButton="0" quotePrefix="0" xfId="0">
      <alignment horizontal="center" vertical="center" wrapText="1"/>
    </xf>
    <xf numFmtId="165" fontId="2" fillId="0" borderId="1" applyAlignment="1" pivotButton="0" quotePrefix="0" xfId="0">
      <alignment horizontal="center" vertical="center" wrapText="1"/>
    </xf>
    <xf numFmtId="0" fontId="2" fillId="0" borderId="3" applyAlignment="1" pivotButton="0" quotePrefix="0" xfId="0">
      <alignment vertical="top"/>
    </xf>
    <xf numFmtId="0" fontId="2" fillId="0" borderId="4" applyAlignment="1" pivotButton="0" quotePrefix="0" xfId="0">
      <alignment vertical="top"/>
    </xf>
    <xf numFmtId="3" fontId="2" fillId="0" borderId="3" applyAlignment="1" pivotButton="0" quotePrefix="0" xfId="0">
      <alignment horizontal="left" vertical="top" wrapText="1"/>
    </xf>
    <xf numFmtId="3" fontId="2" fillId="0" borderId="4" applyAlignment="1" pivotButton="0" quotePrefix="0" xfId="0">
      <alignment horizontal="left" vertical="top" wrapText="1"/>
    </xf>
    <xf numFmtId="3" fontId="2" fillId="0" borderId="3" applyAlignment="1" pivotButton="0" quotePrefix="0" xfId="0">
      <alignment horizontal="left" vertical="top"/>
    </xf>
    <xf numFmtId="3" fontId="2" fillId="0" borderId="4" applyAlignment="1" pivotButton="0" quotePrefix="0" xfId="0">
      <alignment horizontal="left" vertical="top"/>
    </xf>
    <xf numFmtId="3" fontId="2" fillId="10" borderId="7" applyAlignment="1" pivotButton="0" quotePrefix="0" xfId="0">
      <alignment horizontal="center" vertical="center"/>
    </xf>
    <xf numFmtId="0" fontId="2" fillId="0" borderId="1" applyAlignment="1" pivotButton="0" quotePrefix="0" xfId="0">
      <alignment horizontal="center" vertical="center" wrapText="1"/>
    </xf>
    <xf numFmtId="3" fontId="2" fillId="11" borderId="1" applyAlignment="1" pivotButton="0" quotePrefix="0" xfId="0">
      <alignment horizontal="center" vertical="center" wrapText="1"/>
    </xf>
    <xf numFmtId="3" fontId="2" fillId="10" borderId="1" applyAlignment="1" pivotButton="0" quotePrefix="0" xfId="0">
      <alignment horizontal="center" vertical="center" wrapText="1"/>
    </xf>
    <xf numFmtId="14" fontId="2" fillId="0" borderId="7" applyAlignment="1" pivotButton="0" quotePrefix="0" xfId="0">
      <alignment horizontal="center" vertical="center" wrapText="1"/>
    </xf>
    <xf numFmtId="0" fontId="2" fillId="0" borderId="7" applyAlignment="1" pivotButton="0" quotePrefix="0" xfId="0">
      <alignment horizontal="center" vertical="center"/>
    </xf>
    <xf numFmtId="3" fontId="2" fillId="11" borderId="7"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3" applyAlignment="1" pivotButton="0" quotePrefix="0" xfId="0">
      <alignment vertical="center"/>
    </xf>
    <xf numFmtId="0" fontId="0" fillId="0" borderId="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1" applyAlignment="1" pivotButton="0" quotePrefix="0" xfId="0">
      <alignment horizontal="center" vertical="center"/>
    </xf>
    <xf numFmtId="0" fontId="5" fillId="0" borderId="3" applyAlignment="1" pivotButton="0" quotePrefix="0" xfId="0">
      <alignment horizontal="center" vertical="center" wrapText="1"/>
    </xf>
    <xf numFmtId="0" fontId="5" fillId="0" borderId="7"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3" applyAlignment="1" pivotButton="0" quotePrefix="0" xfId="0">
      <alignment horizontal="center"/>
    </xf>
    <xf numFmtId="0" fontId="5" fillId="0" borderId="7" applyAlignment="1" pivotButton="0" quotePrefix="0" xfId="0">
      <alignment horizontal="center"/>
    </xf>
    <xf numFmtId="0" fontId="5" fillId="0" borderId="4" applyAlignment="1" pivotButton="0" quotePrefix="0" xfId="0">
      <alignment horizontal="center"/>
    </xf>
    <xf numFmtId="14" fontId="10" fillId="0" borderId="1" applyAlignment="1" pivotButton="0" quotePrefix="0" xfId="0">
      <alignment horizontal="center" vertical="center"/>
    </xf>
    <xf numFmtId="0" fontId="10" fillId="0" borderId="1" applyAlignment="1" pivotButton="0" quotePrefix="0" xfId="0">
      <alignment horizontal="center" vertical="center"/>
    </xf>
    <xf numFmtId="14" fontId="5" fillId="0" borderId="3" applyAlignment="1" pivotButton="0" quotePrefix="0" xfId="0">
      <alignment horizontal="center" vertical="center" wrapText="1"/>
    </xf>
    <xf numFmtId="14" fontId="5" fillId="0" borderId="7" applyAlignment="1" pivotButton="0" quotePrefix="0" xfId="0">
      <alignment horizontal="center" vertical="center"/>
    </xf>
    <xf numFmtId="14" fontId="5" fillId="0" borderId="4" applyAlignment="1" pivotButton="0" quotePrefix="0" xfId="0">
      <alignment horizontal="center" vertical="center"/>
    </xf>
    <xf numFmtId="3" fontId="2" fillId="0" borderId="0" applyAlignment="1" pivotButton="0" quotePrefix="0" xfId="0">
      <alignment horizontal="left" vertical="top" wrapText="1"/>
    </xf>
    <xf numFmtId="14" fontId="0" fillId="0" borderId="1" pivotButton="0" quotePrefix="0" xfId="0"/>
    <xf numFmtId="14" fontId="0" fillId="0" borderId="7" applyAlignment="1" pivotButton="0" quotePrefix="0" xfId="0">
      <alignment horizontal="center" vertical="center"/>
    </xf>
    <xf numFmtId="0" fontId="0" fillId="0" borderId="7" applyAlignment="1" pivotButton="0" quotePrefix="0" xfId="0">
      <alignment horizontal="center" vertical="center"/>
    </xf>
    <xf numFmtId="14" fontId="8" fillId="0" borderId="1" applyAlignment="1" pivotButton="0" quotePrefix="0" xfId="0">
      <alignment horizontal="center" vertical="center"/>
    </xf>
    <xf numFmtId="3" fontId="7" fillId="0" borderId="1" applyAlignment="1" pivotButton="0" quotePrefix="0" xfId="0">
      <alignment horizontal="left" vertical="top"/>
    </xf>
    <xf numFmtId="3" fontId="2" fillId="0" borderId="1" applyAlignment="1" pivotButton="0" quotePrefix="0" xfId="0">
      <alignment horizontal="left" vertical="center" wrapText="1"/>
    </xf>
    <xf numFmtId="0" fontId="14" fillId="0" borderId="3" applyAlignment="1" pivotButton="0" quotePrefix="0" xfId="0">
      <alignment horizontal="center" vertical="center"/>
    </xf>
    <xf numFmtId="0" fontId="14" fillId="0" borderId="4" applyAlignment="1" pivotButton="0" quotePrefix="0" xfId="0">
      <alignment horizontal="center" vertical="center"/>
    </xf>
    <xf numFmtId="49" fontId="8" fillId="0" borderId="3" applyAlignment="1" pivotButton="0" quotePrefix="0" xfId="0">
      <alignment horizontal="center" vertical="center"/>
    </xf>
    <xf numFmtId="165" fontId="8" fillId="0" borderId="3" applyAlignment="1" pivotButton="0" quotePrefix="0" xfId="0">
      <alignment horizontal="center" vertical="center"/>
    </xf>
    <xf numFmtId="3" fontId="15" fillId="0" borderId="1" applyAlignment="1" pivotButton="0" quotePrefix="0" xfId="0">
      <alignment horizontal="left" vertical="top" wrapText="1"/>
    </xf>
    <xf numFmtId="0" fontId="0" fillId="0" borderId="3" applyAlignment="1" pivotButton="0" quotePrefix="0" xfId="0">
      <alignment vertical="top"/>
    </xf>
    <xf numFmtId="0" fontId="0" fillId="0" borderId="7" applyAlignment="1" pivotButton="0" quotePrefix="0" xfId="0">
      <alignment horizontal="center"/>
    </xf>
    <xf numFmtId="0" fontId="0" fillId="0" borderId="1" pivotButton="0" quotePrefix="0" xfId="0"/>
    <xf numFmtId="0" fontId="0" fillId="0" borderId="1" applyAlignment="1" pivotButton="0" quotePrefix="0" xfId="0">
      <alignment vertical="top" wrapText="1"/>
    </xf>
    <xf numFmtId="3" fontId="3" fillId="0" borderId="0" applyAlignment="1" pivotButton="0" quotePrefix="0" xfId="0">
      <alignment horizontal="left" vertical="top" wrapText="1"/>
    </xf>
    <xf numFmtId="14" fontId="8" fillId="0" borderId="3" pivotButton="0" quotePrefix="0" xfId="0"/>
    <xf numFmtId="14" fontId="8" fillId="0" borderId="4" pivotButton="0" quotePrefix="0" xfId="0"/>
    <xf numFmtId="0" fontId="0" fillId="0" borderId="4" pivotButton="0" quotePrefix="0" xfId="0"/>
    <xf numFmtId="3" fontId="2" fillId="11" borderId="1" applyAlignment="1" pivotButton="0" quotePrefix="0" xfId="0">
      <alignment horizontal="center" vertical="center"/>
    </xf>
    <xf numFmtId="3" fontId="2" fillId="10" borderId="1" applyAlignment="1" pivotButton="0" quotePrefix="0" xfId="0">
      <alignment horizontal="center" vertical="center"/>
    </xf>
    <xf numFmtId="3" fontId="2" fillId="3" borderId="13" applyAlignment="1" pivotButton="0" quotePrefix="0" xfId="0">
      <alignment vertical="top" wrapText="1"/>
    </xf>
    <xf numFmtId="0" fontId="0" fillId="0" borderId="7" pivotButton="0" quotePrefix="0" xfId="0"/>
    <xf numFmtId="49" fontId="2" fillId="0" borderId="2" applyAlignment="1" pivotButton="0" quotePrefix="0" xfId="0">
      <alignment horizontal="center" vertical="center" wrapText="1"/>
    </xf>
    <xf numFmtId="0" fontId="0" fillId="0" borderId="14" pivotButton="0" quotePrefix="0" xfId="0"/>
    <xf numFmtId="0" fontId="0" fillId="0" borderId="20" pivotButton="0" quotePrefix="0" xfId="0"/>
    <xf numFmtId="0" fontId="2" fillId="0" borderId="1" applyAlignment="1" pivotButton="0" quotePrefix="0" xfId="0">
      <alignment horizontal="center" vertical="center"/>
    </xf>
    <xf numFmtId="0" fontId="8" fillId="3" borderId="1" applyAlignment="1" pivotButton="0" quotePrefix="0" xfId="0">
      <alignment horizontal="center" vertical="center"/>
    </xf>
    <xf numFmtId="0" fontId="14" fillId="0" borderId="1" applyAlignment="1" pivotButton="0" quotePrefix="0" xfId="0">
      <alignment horizontal="center" vertical="center"/>
    </xf>
    <xf numFmtId="49" fontId="8" fillId="0" borderId="1" applyAlignment="1" pivotButton="0" quotePrefix="0" xfId="0">
      <alignment horizontal="center" vertical="center"/>
    </xf>
    <xf numFmtId="165" fontId="8" fillId="0" borderId="1" applyAlignment="1" pivotButton="0" quotePrefix="0" xfId="0">
      <alignment horizontal="center" vertical="center"/>
    </xf>
    <xf numFmtId="14" fontId="5"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0" i="0" strike="noStrike" kern="1200" spc="0" baseline="0">
                <a:solidFill>
                  <a:schemeClr val="tx1">
                    <a:lumMod val="65000"/>
                    <a:lumOff val="35000"/>
                  </a:schemeClr>
                </a:solidFill>
                <a:latin typeface="+mn-lt"/>
                <a:ea typeface="+mn-ea"/>
                <a:cs typeface="+mn-cs"/>
              </a:defRPr>
            </a:pPr>
            <a:r>
              <a:rPr lang="en-US" sz="1600"/>
              <a:t>THỐNG</a:t>
            </a:r>
            <a:r>
              <a:rPr lang="en-US" sz="1600" baseline="0"/>
              <a:t xml:space="preserve"> KÊ KHAY HÀNH LÝ THÁNG 01/2025</a:t>
            </a:r>
            <a:endParaRPr lang="en-US" sz="1600"/>
          </a:p>
        </rich>
      </tx>
      <overlay val="0"/>
      <spPr>
        <a:solidFill>
          <a:schemeClr val="accent4"/>
        </a:solidFill>
        <a:ln>
          <a:noFill/>
          <a:prstDash val="solid"/>
        </a:ln>
      </spPr>
      <txPr>
        <a:bodyPr rot="0" spcFirstLastPara="1" vertOverflow="ellipsis" vert="horz" wrap="square" anchor="ctr" anchorCtr="1"/>
        <a:lstStyle/>
        <a:p>
          <a:pPr>
            <a:defRPr sz="16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'Kiểm tra Khay Hành Lý'!$D$4</f>
              <strCache>
                <ptCount val="1"/>
                <pt idx="0">
                  <v>Viags</v>
                </pt>
              </strCache>
            </strRef>
          </tx>
          <spPr>
            <a:solidFill>
              <a:schemeClr val="accent1"/>
            </a:solidFill>
            <a:ln>
              <a:noFill/>
              <a:prstDash val="solid"/>
            </a:ln>
          </spPr>
          <invertIfNegative val="0"/>
          <cat>
            <numRef>
              <f>'Kiểm tra Khay Hành Lý'!$C$5:$C$60</f>
              <numCache>
                <formatCode>0</formatCode>
                <ptCount val="56"/>
                <pt idx="0">
                  <v>3</v>
                </pt>
                <pt idx="2">
                  <v>4</v>
                </pt>
                <pt idx="4">
                  <v>5</v>
                </pt>
                <pt idx="6">
                  <v>6</v>
                </pt>
                <pt idx="8">
                  <v>7</v>
                </pt>
                <pt idx="10">
                  <v>8</v>
                </pt>
                <pt idx="12">
                  <v>9</v>
                </pt>
                <pt idx="14">
                  <v>10</v>
                </pt>
                <pt idx="16">
                  <v>11</v>
                </pt>
                <pt idx="18">
                  <v>12</v>
                </pt>
                <pt idx="20">
                  <v>13</v>
                </pt>
                <pt idx="22">
                  <v>14</v>
                </pt>
                <pt idx="24">
                  <v>15</v>
                </pt>
                <pt idx="26">
                  <v>16</v>
                </pt>
                <pt idx="28">
                  <v>17</v>
                </pt>
                <pt idx="30">
                  <v>18</v>
                </pt>
                <pt idx="32">
                  <v>19</v>
                </pt>
                <pt idx="34">
                  <v>20</v>
                </pt>
                <pt idx="36">
                  <v>21</v>
                </pt>
                <pt idx="38">
                  <v>22</v>
                </pt>
                <pt idx="40">
                  <v>23</v>
                </pt>
                <pt idx="42">
                  <v>24</v>
                </pt>
                <pt idx="44">
                  <v>25</v>
                </pt>
                <pt idx="46">
                  <v>26</v>
                </pt>
                <pt idx="48">
                  <v>27</v>
                </pt>
                <pt idx="50">
                  <v>28</v>
                </pt>
                <pt idx="52">
                  <v>29</v>
                </pt>
                <pt idx="54">
                  <v>30</v>
                </pt>
              </numCache>
            </numRef>
          </cat>
          <val>
            <numRef>
              <f>'Kiểm tra Khay Hành Lý'!$D$5:$D$60</f>
              <numCache>
                <formatCode>General</formatCode>
                <ptCount val="56"/>
                <pt idx="0">
                  <v>163</v>
                </pt>
                <pt idx="2">
                  <v>153</v>
                </pt>
                <pt idx="4">
                  <v>150</v>
                </pt>
                <pt idx="6">
                  <v>151</v>
                </pt>
                <pt idx="8">
                  <v>114</v>
                </pt>
                <pt idx="10">
                  <v>151</v>
                </pt>
                <pt idx="12">
                  <v>151</v>
                </pt>
                <pt idx="14">
                  <v>135</v>
                </pt>
                <pt idx="16">
                  <v>153</v>
                </pt>
                <pt idx="18">
                  <v>155</v>
                </pt>
                <pt idx="20">
                  <v>154</v>
                </pt>
                <pt idx="22">
                  <v>164</v>
                </pt>
                <pt idx="24">
                  <v>151</v>
                </pt>
                <pt idx="26">
                  <v>163</v>
                </pt>
                <pt idx="28">
                  <v>125</v>
                </pt>
                <pt idx="30">
                  <v>154</v>
                </pt>
                <pt idx="32">
                  <v>169</v>
                </pt>
                <pt idx="34">
                  <v>142</v>
                </pt>
                <pt idx="36">
                  <v>158</v>
                </pt>
                <pt idx="38">
                  <v>162</v>
                </pt>
                <pt idx="40">
                  <v>155</v>
                </pt>
                <pt idx="42">
                  <v>156</v>
                </pt>
                <pt idx="44">
                  <v>144</v>
                </pt>
                <pt idx="46">
                  <v>148</v>
                </pt>
                <pt idx="48">
                  <v>155</v>
                </pt>
                <pt idx="50">
                  <v>157</v>
                </pt>
                <pt idx="52">
                  <v>156</v>
                </pt>
                <pt idx="54">
                  <v>152</v>
                </pt>
              </numCache>
            </numRef>
          </val>
        </ser>
        <ser>
          <idx val="1"/>
          <order val="1"/>
          <tx>
            <strRef>
              <f>'Kiểm tra Khay Hành Lý'!$E$4</f>
              <strCache>
                <ptCount val="1"/>
                <pt idx="0">
                  <v>Sags</v>
                </pt>
              </strCache>
            </strRef>
          </tx>
          <spPr>
            <a:solidFill>
              <a:schemeClr val="accent3"/>
            </a:solidFill>
            <a:ln>
              <a:noFill/>
              <a:prstDash val="solid"/>
            </a:ln>
          </spPr>
          <invertIfNegative val="0"/>
          <cat>
            <numRef>
              <f>'Kiểm tra Khay Hành Lý'!$C$5:$C$60</f>
              <numCache>
                <formatCode>0</formatCode>
                <ptCount val="56"/>
                <pt idx="0">
                  <v>3</v>
                </pt>
                <pt idx="2">
                  <v>4</v>
                </pt>
                <pt idx="4">
                  <v>5</v>
                </pt>
                <pt idx="6">
                  <v>6</v>
                </pt>
                <pt idx="8">
                  <v>7</v>
                </pt>
                <pt idx="10">
                  <v>8</v>
                </pt>
                <pt idx="12">
                  <v>9</v>
                </pt>
                <pt idx="14">
                  <v>10</v>
                </pt>
                <pt idx="16">
                  <v>11</v>
                </pt>
                <pt idx="18">
                  <v>12</v>
                </pt>
                <pt idx="20">
                  <v>13</v>
                </pt>
                <pt idx="22">
                  <v>14</v>
                </pt>
                <pt idx="24">
                  <v>15</v>
                </pt>
                <pt idx="26">
                  <v>16</v>
                </pt>
                <pt idx="28">
                  <v>17</v>
                </pt>
                <pt idx="30">
                  <v>18</v>
                </pt>
                <pt idx="32">
                  <v>19</v>
                </pt>
                <pt idx="34">
                  <v>20</v>
                </pt>
                <pt idx="36">
                  <v>21</v>
                </pt>
                <pt idx="38">
                  <v>22</v>
                </pt>
                <pt idx="40">
                  <v>23</v>
                </pt>
                <pt idx="42">
                  <v>24</v>
                </pt>
                <pt idx="44">
                  <v>25</v>
                </pt>
                <pt idx="46">
                  <v>26</v>
                </pt>
                <pt idx="48">
                  <v>27</v>
                </pt>
                <pt idx="50">
                  <v>28</v>
                </pt>
                <pt idx="52">
                  <v>29</v>
                </pt>
                <pt idx="54">
                  <v>30</v>
                </pt>
              </numCache>
            </numRef>
          </cat>
          <val>
            <numRef>
              <f>'Kiểm tra Khay Hành Lý'!$E$5:$E$60</f>
              <numCache>
                <formatCode>General</formatCode>
                <ptCount val="56"/>
                <pt idx="0">
                  <v>165</v>
                </pt>
                <pt idx="2">
                  <v>140</v>
                </pt>
                <pt idx="4">
                  <v>138</v>
                </pt>
                <pt idx="6">
                  <v>138</v>
                </pt>
                <pt idx="8">
                  <v>109</v>
                </pt>
                <pt idx="10">
                  <v>141</v>
                </pt>
                <pt idx="12">
                  <v>145</v>
                </pt>
                <pt idx="14">
                  <v>111</v>
                </pt>
                <pt idx="16">
                  <v>144</v>
                </pt>
                <pt idx="18">
                  <v>140</v>
                </pt>
                <pt idx="20">
                  <v>146</v>
                </pt>
                <pt idx="22">
                  <v>155</v>
                </pt>
                <pt idx="24">
                  <v>144</v>
                </pt>
                <pt idx="26">
                  <v>140</v>
                </pt>
                <pt idx="28">
                  <v>163</v>
                </pt>
                <pt idx="30">
                  <v>142</v>
                </pt>
                <pt idx="32">
                  <v>155</v>
                </pt>
                <pt idx="34">
                  <v>150</v>
                </pt>
                <pt idx="36">
                  <v>142</v>
                </pt>
                <pt idx="38">
                  <v>138</v>
                </pt>
                <pt idx="40">
                  <v>139</v>
                </pt>
                <pt idx="42">
                  <v>136</v>
                </pt>
                <pt idx="44">
                  <v>140</v>
                </pt>
                <pt idx="46">
                  <v>143</v>
                </pt>
                <pt idx="48">
                  <v>135</v>
                </pt>
                <pt idx="50">
                  <v>140</v>
                </pt>
                <pt idx="52">
                  <v>137</v>
                </pt>
                <pt idx="54">
                  <v>144</v>
                </pt>
              </numCache>
            </numRef>
          </val>
        </ser>
        <dLbls>
          <showLegendKey val="0"/>
          <showVal val="0"/>
          <showCatName val="0"/>
          <showSerName val="0"/>
          <showPercent val="0"/>
          <showBubbleSize val="0"/>
        </dLbls>
        <gapWidth val="150"/>
        <axId val="385394312"/>
        <axId val="385397592"/>
      </barChart>
      <lineChart>
        <grouping val="standard"/>
        <varyColors val="0"/>
        <ser>
          <idx val="2"/>
          <order val="2"/>
          <tx>
            <strRef>
              <f>'Kiểm tra Khay Hành Lý'!$F$4</f>
              <strCache>
                <ptCount val="1"/>
                <pt idx="0">
                  <v>TỔNG</v>
                </pt>
              </strCache>
            </strRef>
          </tx>
          <spPr>
            <a:ln w="28575" cap="rnd">
              <a:solidFill>
                <a:schemeClr val="accent5"/>
              </a:solidFill>
              <a:prstDash val="solid"/>
              <a:round/>
            </a:ln>
          </spPr>
          <marker>
            <symbol val="circle"/>
            <size val="5"/>
            <spPr>
              <a:solidFill>
                <a:schemeClr val="accent5"/>
              </a:solidFill>
              <a:ln w="9525">
                <a:solidFill>
                  <a:schemeClr val="accent5"/>
                </a:solidFill>
                <a:prstDash val="solid"/>
              </a:ln>
            </spPr>
          </marker>
          <cat>
            <numRef>
              <f>'Kiểm tra Khay Hành Lý'!$C$5:$C$60</f>
              <numCache>
                <formatCode>0</formatCode>
                <ptCount val="56"/>
                <pt idx="0">
                  <v>3</v>
                </pt>
                <pt idx="2">
                  <v>4</v>
                </pt>
                <pt idx="4">
                  <v>5</v>
                </pt>
                <pt idx="6">
                  <v>6</v>
                </pt>
                <pt idx="8">
                  <v>7</v>
                </pt>
                <pt idx="10">
                  <v>8</v>
                </pt>
                <pt idx="12">
                  <v>9</v>
                </pt>
                <pt idx="14">
                  <v>10</v>
                </pt>
                <pt idx="16">
                  <v>11</v>
                </pt>
                <pt idx="18">
                  <v>12</v>
                </pt>
                <pt idx="20">
                  <v>13</v>
                </pt>
                <pt idx="22">
                  <v>14</v>
                </pt>
                <pt idx="24">
                  <v>15</v>
                </pt>
                <pt idx="26">
                  <v>16</v>
                </pt>
                <pt idx="28">
                  <v>17</v>
                </pt>
                <pt idx="30">
                  <v>18</v>
                </pt>
                <pt idx="32">
                  <v>19</v>
                </pt>
                <pt idx="34">
                  <v>20</v>
                </pt>
                <pt idx="36">
                  <v>21</v>
                </pt>
                <pt idx="38">
                  <v>22</v>
                </pt>
                <pt idx="40">
                  <v>23</v>
                </pt>
                <pt idx="42">
                  <v>24</v>
                </pt>
                <pt idx="44">
                  <v>25</v>
                </pt>
                <pt idx="46">
                  <v>26</v>
                </pt>
                <pt idx="48">
                  <v>27</v>
                </pt>
                <pt idx="50">
                  <v>28</v>
                </pt>
                <pt idx="52">
                  <v>29</v>
                </pt>
                <pt idx="54">
                  <v>30</v>
                </pt>
              </numCache>
            </numRef>
          </cat>
          <val>
            <numRef>
              <f>'Kiểm tra Khay Hành Lý'!$F$5:$F$60</f>
              <numCache>
                <formatCode>General</formatCode>
                <ptCount val="56"/>
                <pt idx="0">
                  <v>328</v>
                </pt>
                <pt idx="2">
                  <v>293</v>
                </pt>
                <pt idx="4">
                  <v>288</v>
                </pt>
                <pt idx="6">
                  <v>289</v>
                </pt>
                <pt idx="8">
                  <v>223</v>
                </pt>
                <pt idx="10">
                  <v>292</v>
                </pt>
                <pt idx="12">
                  <v>296</v>
                </pt>
                <pt idx="14">
                  <v>246</v>
                </pt>
                <pt idx="16">
                  <v>297</v>
                </pt>
                <pt idx="18">
                  <v>295</v>
                </pt>
                <pt idx="20">
                  <v>300</v>
                </pt>
                <pt idx="22">
                  <v>319</v>
                </pt>
                <pt idx="24">
                  <v>295</v>
                </pt>
                <pt idx="26">
                  <v>303</v>
                </pt>
                <pt idx="28">
                  <v>288</v>
                </pt>
                <pt idx="30">
                  <v>296</v>
                </pt>
                <pt idx="32">
                  <v>324</v>
                </pt>
                <pt idx="34">
                  <v>292</v>
                </pt>
                <pt idx="36">
                  <v>300</v>
                </pt>
                <pt idx="38">
                  <v>300</v>
                </pt>
                <pt idx="40">
                  <v>294</v>
                </pt>
                <pt idx="42">
                  <v>292</v>
                </pt>
                <pt idx="44">
                  <v>284</v>
                </pt>
                <pt idx="46">
                  <v>291</v>
                </pt>
                <pt idx="48">
                  <v>290</v>
                </pt>
                <pt idx="50">
                  <v>297</v>
                </pt>
                <pt idx="52">
                  <v>293</v>
                </pt>
                <pt idx="54">
                  <v>296</v>
                </pt>
              </numCache>
            </numRef>
          </val>
          <smooth val="0"/>
        </ser>
        <dLbls>
          <showLegendKey val="0"/>
          <showVal val="0"/>
          <showCatName val="0"/>
          <showSerName val="0"/>
          <showPercent val="0"/>
          <showBubbleSize val="0"/>
        </dLbls>
        <marker val="1"/>
        <smooth val="0"/>
        <axId val="385394312"/>
        <axId val="385397592"/>
      </lineChart>
      <catAx>
        <axId val="385394312"/>
        <scaling>
          <orientation val="minMax"/>
        </scaling>
        <delete val="0"/>
        <axPos val="b"/>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5397592"/>
        <crosses val="autoZero"/>
        <auto val="1"/>
        <lblAlgn val="ctr"/>
        <lblOffset val="100"/>
        <noMultiLvlLbl val="0"/>
      </catAx>
      <valAx>
        <axId val="385397592"/>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5394312"/>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800" b="0" i="0" baseline="0">
                <effectLst/>
              </a:rPr>
              <a:t>THỐNG KÊ KHAY HÀNH LÝ THÁNG 02/2025</a:t>
            </a:r>
            <a:endParaRPr lang="en-US">
              <effectLst/>
            </a:endParaRPr>
          </a:p>
        </rich>
      </tx>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'Kiểm tra Khay Hành Lý'!$D$67</f>
              <strCache>
                <ptCount val="1"/>
                <pt idx="0">
                  <v>Viags</v>
                </pt>
              </strCache>
            </strRef>
          </tx>
          <spPr>
            <a:solidFill>
              <a:schemeClr val="accent1"/>
            </a:solidFill>
            <a:ln>
              <a:noFill/>
              <a:prstDash val="solid"/>
            </a:ln>
          </spPr>
          <invertIfNegative val="0"/>
          <cat>
            <numRef>
              <f>'Kiểm tra Khay Hành Lý'!$C$68:$C$123</f>
              <numCache>
                <formatCode>0</formatCode>
                <ptCount val="56"/>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numCache>
            </numRef>
          </cat>
          <val>
            <numRef>
              <f>'Kiểm tra Khay Hành Lý'!$D$68:$D$123</f>
              <numCache>
                <formatCode>#.##0</formatCode>
                <ptCount val="56"/>
                <pt idx="0">
                  <v>152</v>
                </pt>
                <pt idx="2">
                  <v>153</v>
                </pt>
                <pt idx="4">
                  <v>160</v>
                </pt>
                <pt idx="6">
                  <v>158</v>
                </pt>
                <pt idx="8">
                  <v>147</v>
                </pt>
                <pt idx="10">
                  <v>160</v>
                </pt>
                <pt idx="12">
                  <v>152</v>
                </pt>
                <pt idx="14">
                  <v>153</v>
                </pt>
                <pt idx="16">
                  <v>150</v>
                </pt>
                <pt idx="18">
                  <v>146</v>
                </pt>
                <pt idx="20">
                  <v>154</v>
                </pt>
                <pt idx="22">
                  <v>139</v>
                </pt>
                <pt idx="24">
                  <v>159</v>
                </pt>
                <pt idx="26">
                  <v>156</v>
                </pt>
                <pt idx="28">
                  <v>158</v>
                </pt>
                <pt idx="30">
                  <v>148</v>
                </pt>
                <pt idx="32">
                  <v>151</v>
                </pt>
                <pt idx="34">
                  <v>155</v>
                </pt>
                <pt idx="36">
                  <v>141</v>
                </pt>
                <pt idx="38">
                  <v>152</v>
                </pt>
                <pt idx="40">
                  <v>150</v>
                </pt>
                <pt idx="42">
                  <v>146</v>
                </pt>
                <pt idx="44">
                  <v>150</v>
                </pt>
                <pt idx="46">
                  <v>152</v>
                </pt>
                <pt idx="48">
                  <v>140</v>
                </pt>
                <pt idx="50">
                  <v>151</v>
                </pt>
                <pt idx="52">
                  <v>141</v>
                </pt>
                <pt idx="54">
                  <v>149</v>
                </pt>
              </numCache>
            </numRef>
          </val>
        </ser>
        <ser>
          <idx val="1"/>
          <order val="1"/>
          <tx>
            <strRef>
              <f>'Kiểm tra Khay Hành Lý'!$E$67</f>
              <strCache>
                <ptCount val="1"/>
                <pt idx="0">
                  <v>Sags</v>
                </pt>
              </strCache>
            </strRef>
          </tx>
          <spPr>
            <a:solidFill>
              <a:schemeClr val="accent2"/>
            </a:solidFill>
            <a:ln>
              <a:noFill/>
              <a:prstDash val="solid"/>
            </a:ln>
          </spPr>
          <invertIfNegative val="0"/>
          <cat>
            <numRef>
              <f>'Kiểm tra Khay Hành Lý'!$C$68:$C$123</f>
              <numCache>
                <formatCode>0</formatCode>
                <ptCount val="56"/>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numCache>
            </numRef>
          </cat>
          <val>
            <numRef>
              <f>'Kiểm tra Khay Hành Lý'!$E$68:$E$123</f>
              <numCache>
                <formatCode>#.##0</formatCode>
                <ptCount val="56"/>
                <pt idx="0">
                  <v>132</v>
                </pt>
                <pt idx="2">
                  <v>144</v>
                </pt>
                <pt idx="4">
                  <v>135</v>
                </pt>
                <pt idx="6">
                  <v>137</v>
                </pt>
                <pt idx="8">
                  <v>140</v>
                </pt>
                <pt idx="10">
                  <v>135</v>
                </pt>
                <pt idx="12">
                  <v>138</v>
                </pt>
                <pt idx="14">
                  <v>143</v>
                </pt>
                <pt idx="16">
                  <v>145</v>
                </pt>
                <pt idx="18">
                  <v>142</v>
                </pt>
                <pt idx="20">
                  <v>142</v>
                </pt>
                <pt idx="22">
                  <v>110</v>
                </pt>
                <pt idx="24">
                  <v>138</v>
                </pt>
                <pt idx="26">
                  <v>141</v>
                </pt>
                <pt idx="28">
                  <v>142</v>
                </pt>
                <pt idx="30">
                  <v>140</v>
                </pt>
                <pt idx="32">
                  <v>142</v>
                </pt>
                <pt idx="34">
                  <v>140</v>
                </pt>
                <pt idx="36">
                  <v>150</v>
                </pt>
                <pt idx="38">
                  <v>140</v>
                </pt>
                <pt idx="40">
                  <v>144</v>
                </pt>
                <pt idx="42">
                  <v>143</v>
                </pt>
                <pt idx="44">
                  <v>144</v>
                </pt>
                <pt idx="46">
                  <v>140</v>
                </pt>
                <pt idx="48">
                  <v>147</v>
                </pt>
                <pt idx="50">
                  <v>140</v>
                </pt>
                <pt idx="52">
                  <v>148</v>
                </pt>
                <pt idx="54">
                  <v>144</v>
                </pt>
              </numCache>
            </numRef>
          </val>
        </ser>
        <dLbls>
          <showLegendKey val="0"/>
          <showVal val="0"/>
          <showCatName val="0"/>
          <showSerName val="0"/>
          <showPercent val="0"/>
          <showBubbleSize val="0"/>
        </dLbls>
        <gapWidth val="219"/>
        <axId val="507524496"/>
        <axId val="507530400"/>
      </barChart>
      <lineChart>
        <grouping val="standard"/>
        <varyColors val="0"/>
        <ser>
          <idx val="2"/>
          <order val="2"/>
          <tx>
            <strRef>
              <f>'Kiểm tra Khay Hành Lý'!$F$67</f>
              <strCache>
                <ptCount val="1"/>
                <pt idx="0">
                  <v>TỔNG</v>
                </pt>
              </strCache>
            </strRef>
          </tx>
          <spPr>
            <a:ln w="28575" cap="rnd">
              <a:solidFill>
                <a:schemeClr val="accent3"/>
              </a:solidFill>
              <a:prstDash val="solid"/>
              <a:round/>
            </a:ln>
          </spPr>
          <marker>
            <symbol val="circle"/>
            <size val="5"/>
            <spPr>
              <a:solidFill>
                <a:schemeClr val="accent3"/>
              </a:solidFill>
              <a:ln w="9525">
                <a:solidFill>
                  <a:schemeClr val="accent3"/>
                </a:solidFill>
                <a:prstDash val="solid"/>
              </a:ln>
            </spPr>
          </marker>
          <cat>
            <numRef>
              <f>'Kiểm tra Khay Hành Lý'!$C$68:$C$123</f>
              <numCache>
                <formatCode>0</formatCode>
                <ptCount val="56"/>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numCache>
            </numRef>
          </cat>
          <val>
            <numRef>
              <f>'Kiểm tra Khay Hành Lý'!$F$68:$F$123</f>
              <numCache>
                <formatCode>General</formatCode>
                <ptCount val="56"/>
                <pt idx="0">
                  <v>284</v>
                </pt>
                <pt idx="2">
                  <v>297</v>
                </pt>
                <pt idx="4">
                  <v>295</v>
                </pt>
                <pt idx="6">
                  <v>295</v>
                </pt>
                <pt idx="8">
                  <v>287</v>
                </pt>
                <pt idx="10">
                  <v>295</v>
                </pt>
                <pt idx="12">
                  <v>290</v>
                </pt>
                <pt idx="14">
                  <v>296</v>
                </pt>
                <pt idx="16">
                  <v>295</v>
                </pt>
                <pt idx="18">
                  <v>288</v>
                </pt>
                <pt idx="20">
                  <v>296</v>
                </pt>
                <pt idx="22">
                  <v>249</v>
                </pt>
                <pt idx="24">
                  <v>297</v>
                </pt>
                <pt idx="28">
                  <v>300</v>
                </pt>
                <pt idx="30">
                  <v>288</v>
                </pt>
                <pt idx="32">
                  <v>293</v>
                </pt>
                <pt idx="34">
                  <v>295</v>
                </pt>
                <pt idx="36">
                  <v>291</v>
                </pt>
                <pt idx="38">
                  <v>292</v>
                </pt>
                <pt idx="40">
                  <v>294</v>
                </pt>
                <pt idx="42">
                  <v>289</v>
                </pt>
                <pt idx="44">
                  <v>294</v>
                </pt>
                <pt idx="46">
                  <v>292</v>
                </pt>
                <pt idx="48">
                  <v>287</v>
                </pt>
                <pt idx="50">
                  <v>291</v>
                </pt>
                <pt idx="52">
                  <v>289</v>
                </pt>
                <pt idx="54">
                  <v>293</v>
                </pt>
              </numCache>
            </numRef>
          </val>
          <smooth val="0"/>
        </ser>
        <dLbls>
          <showLegendKey val="0"/>
          <showVal val="0"/>
          <showCatName val="0"/>
          <showSerName val="0"/>
          <showPercent val="0"/>
          <showBubbleSize val="0"/>
        </dLbls>
        <marker val="1"/>
        <smooth val="0"/>
        <axId val="507524496"/>
        <axId val="507530400"/>
      </lineChart>
      <catAx>
        <axId val="507524496"/>
        <scaling>
          <orientation val="minMax"/>
        </scaling>
        <delete val="0"/>
        <axPos val="b"/>
        <numFmt formatCode="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07530400"/>
        <crosses val="autoZero"/>
        <auto val="1"/>
        <lblAlgn val="ctr"/>
        <lblOffset val="100"/>
        <noMultiLvlLbl val="0"/>
      </catAx>
      <valAx>
        <axId val="507530400"/>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07524496"/>
        <crosses val="autoZero"/>
        <crossBetween val="between"/>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800" b="0" i="0" baseline="0">
                <effectLst/>
              </a:rPr>
              <a:t>THỐNG KÊ KHAY HÀNH LÝ THÁNG 03/2025</a:t>
            </a:r>
            <a:endParaRPr lang="en-US">
              <effectLst/>
            </a:endParaRPr>
          </a:p>
        </rich>
      </tx>
      <layout/>
      <overlay val="0"/>
      <spPr>
        <a:solidFill>
          <a:srgbClr val="FFFF00"/>
        </a:solid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'Kiểm tra Khay Hành Lý'!$D$129</f>
              <strCache>
                <ptCount val="1"/>
                <pt idx="0">
                  <v>Viags</v>
                </pt>
              </strCache>
            </strRef>
          </tx>
          <spPr>
            <a:solidFill>
              <a:schemeClr val="accent1"/>
            </a:solidFill>
            <a:ln>
              <a:noFill/>
              <a:prstDash val="solid"/>
            </a:ln>
          </spPr>
          <invertIfNegative val="0"/>
          <cat>
            <numRef>
              <f>'Kiểm tra Khay Hành Lý'!$C$130:$C$191</f>
              <numCache>
                <formatCode>0</formatCode>
                <ptCount val="62"/>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pt idx="60">
                  <v>31</v>
                </pt>
              </numCache>
            </numRef>
          </cat>
          <val>
            <numRef>
              <f>'Kiểm tra Khay Hành Lý'!$D$130:$D$191</f>
              <numCache>
                <formatCode>#.##0</formatCode>
                <ptCount val="62"/>
                <pt idx="0">
                  <v>151</v>
                </pt>
                <pt idx="2">
                  <v>153</v>
                </pt>
                <pt idx="4">
                  <v>145</v>
                </pt>
                <pt idx="6">
                  <v>149</v>
                </pt>
                <pt idx="8">
                  <v>152</v>
                </pt>
                <pt idx="10">
                  <v>145</v>
                </pt>
                <pt idx="12">
                  <v>150</v>
                </pt>
                <pt idx="14">
                  <v>151</v>
                </pt>
                <pt idx="16">
                  <v>148</v>
                </pt>
                <pt idx="18">
                  <v>148</v>
                </pt>
                <pt idx="20">
                  <v>150</v>
                </pt>
                <pt idx="22">
                  <v>146</v>
                </pt>
                <pt idx="24">
                  <v>146</v>
                </pt>
                <pt idx="26">
                  <v>148</v>
                </pt>
                <pt idx="28">
                  <v>140</v>
                </pt>
                <pt idx="30">
                  <v>147</v>
                </pt>
                <pt idx="32">
                  <v>200</v>
                </pt>
                <pt idx="34">
                  <v>142</v>
                </pt>
                <pt idx="36">
                  <v>148</v>
                </pt>
                <pt idx="38">
                  <v>150</v>
                </pt>
                <pt idx="40">
                  <v>152</v>
                </pt>
                <pt idx="42">
                  <v>148</v>
                </pt>
                <pt idx="44">
                  <v>145</v>
                </pt>
                <pt idx="46">
                  <v>146</v>
                </pt>
                <pt idx="48">
                  <v>149</v>
                </pt>
                <pt idx="50">
                  <v>151</v>
                </pt>
                <pt idx="52">
                  <v>146</v>
                </pt>
                <pt idx="54">
                  <v>146</v>
                </pt>
                <pt idx="56">
                  <v>148</v>
                </pt>
                <pt idx="58">
                  <v>152</v>
                </pt>
                <pt idx="60">
                  <v>146</v>
                </pt>
              </numCache>
            </numRef>
          </val>
        </ser>
        <ser>
          <idx val="1"/>
          <order val="1"/>
          <tx>
            <strRef>
              <f>'Kiểm tra Khay Hành Lý'!$E$129</f>
              <strCache>
                <ptCount val="1"/>
                <pt idx="0">
                  <v>Sags</v>
                </pt>
              </strCache>
            </strRef>
          </tx>
          <spPr>
            <a:solidFill>
              <a:schemeClr val="accent2"/>
            </a:solidFill>
            <a:ln>
              <a:noFill/>
              <a:prstDash val="solid"/>
            </a:ln>
          </spPr>
          <invertIfNegative val="0"/>
          <cat>
            <numRef>
              <f>'Kiểm tra Khay Hành Lý'!$C$130:$C$191</f>
              <numCache>
                <formatCode>0</formatCode>
                <ptCount val="62"/>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pt idx="60">
                  <v>31</v>
                </pt>
              </numCache>
            </numRef>
          </cat>
          <val>
            <numRef>
              <f>'Kiểm tra Khay Hành Lý'!$E$130:$E$191</f>
              <numCache>
                <formatCode>#.##0</formatCode>
                <ptCount val="62"/>
                <pt idx="0">
                  <v>139</v>
                </pt>
                <pt idx="2">
                  <v>137</v>
                </pt>
                <pt idx="4">
                  <v>140</v>
                </pt>
                <pt idx="6">
                  <v>139</v>
                </pt>
                <pt idx="8">
                  <v>140</v>
                </pt>
                <pt idx="10">
                  <v>142</v>
                </pt>
                <pt idx="12">
                  <v>137</v>
                </pt>
                <pt idx="14">
                  <v>138</v>
                </pt>
                <pt idx="16">
                  <v>142</v>
                </pt>
                <pt idx="18">
                  <v>138</v>
                </pt>
                <pt idx="20">
                  <v>141</v>
                </pt>
                <pt idx="22">
                  <v>140</v>
                </pt>
                <pt idx="24">
                  <v>139</v>
                </pt>
                <pt idx="26">
                  <v>143</v>
                </pt>
                <pt idx="28">
                  <v>142</v>
                </pt>
                <pt idx="30">
                  <v>137</v>
                </pt>
                <pt idx="32">
                  <v>140</v>
                </pt>
                <pt idx="34">
                  <v>138</v>
                </pt>
                <pt idx="36">
                  <v>136</v>
                </pt>
                <pt idx="38">
                  <v>131</v>
                </pt>
                <pt idx="40">
                  <v>138</v>
                </pt>
                <pt idx="42">
                  <v>138</v>
                </pt>
                <pt idx="44">
                  <v>139</v>
                </pt>
                <pt idx="46">
                  <v>143</v>
                </pt>
                <pt idx="48">
                  <v>136</v>
                </pt>
                <pt idx="50">
                  <v>135</v>
                </pt>
                <pt idx="52">
                  <v>142</v>
                </pt>
                <pt idx="54">
                  <v>137</v>
                </pt>
                <pt idx="56">
                  <v>140</v>
                </pt>
                <pt idx="58">
                  <v>134</v>
                </pt>
                <pt idx="60">
                  <v>135</v>
                </pt>
              </numCache>
            </numRef>
          </val>
        </ser>
        <dLbls>
          <showLegendKey val="0"/>
          <showVal val="0"/>
          <showCatName val="0"/>
          <showSerName val="0"/>
          <showPercent val="0"/>
          <showBubbleSize val="0"/>
        </dLbls>
        <gapWidth val="219"/>
        <axId val="462404296"/>
        <axId val="462404624"/>
      </barChart>
      <lineChart>
        <grouping val="standard"/>
        <varyColors val="0"/>
        <ser>
          <idx val="2"/>
          <order val="2"/>
          <tx>
            <strRef>
              <f>'Kiểm tra Khay Hành Lý'!$F$129</f>
              <strCache>
                <ptCount val="1"/>
                <pt idx="0">
                  <v>TỔNG</v>
                </pt>
              </strCache>
            </strRef>
          </tx>
          <spPr>
            <a:ln w="28575" cap="rnd">
              <a:solidFill>
                <a:schemeClr val="accent3"/>
              </a:solidFill>
              <a:prstDash val="solid"/>
              <a:round/>
            </a:ln>
          </spPr>
          <marker>
            <symbol val="circle"/>
            <size val="5"/>
            <spPr>
              <a:solidFill>
                <a:schemeClr val="accent3"/>
              </a:solidFill>
              <a:ln w="9525">
                <a:solidFill>
                  <a:schemeClr val="accent3"/>
                </a:solidFill>
                <a:prstDash val="solid"/>
              </a:ln>
            </spPr>
          </marker>
          <cat>
            <numRef>
              <f>'Kiểm tra Khay Hành Lý'!$C$130:$C$191</f>
              <numCache>
                <formatCode>0</formatCode>
                <ptCount val="62"/>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pt idx="60">
                  <v>31</v>
                </pt>
              </numCache>
            </numRef>
          </cat>
          <val>
            <numRef>
              <f>'Kiểm tra Khay Hành Lý'!$F$130:$F$191</f>
              <numCache>
                <formatCode>General</formatCode>
                <ptCount val="62"/>
                <pt idx="0">
                  <v>290</v>
                </pt>
                <pt idx="2">
                  <v>290</v>
                </pt>
                <pt idx="4">
                  <v>285</v>
                </pt>
                <pt idx="6">
                  <v>288</v>
                </pt>
                <pt idx="10">
                  <v>287</v>
                </pt>
                <pt idx="12">
                  <v>287</v>
                </pt>
                <pt idx="14">
                  <v>289</v>
                </pt>
                <pt idx="16">
                  <v>290</v>
                </pt>
                <pt idx="18">
                  <v>286</v>
                </pt>
                <pt idx="20">
                  <v>291</v>
                </pt>
                <pt idx="22">
                  <v>286</v>
                </pt>
                <pt idx="24">
                  <v>285</v>
                </pt>
                <pt idx="26">
                  <v>291</v>
                </pt>
                <pt idx="28">
                  <v>282</v>
                </pt>
                <pt idx="30">
                  <v>284</v>
                </pt>
                <pt idx="32">
                  <v>340</v>
                </pt>
                <pt idx="34">
                  <v>280</v>
                </pt>
                <pt idx="36">
                  <v>284</v>
                </pt>
                <pt idx="38">
                  <v>281</v>
                </pt>
                <pt idx="40">
                  <v>290</v>
                </pt>
                <pt idx="42">
                  <v>286</v>
                </pt>
                <pt idx="44">
                  <v>284</v>
                </pt>
                <pt idx="46">
                  <v>289</v>
                </pt>
                <pt idx="48">
                  <v>285</v>
                </pt>
                <pt idx="50">
                  <v>286</v>
                </pt>
                <pt idx="52">
                  <v>288</v>
                </pt>
                <pt idx="54">
                  <v>283</v>
                </pt>
                <pt idx="56">
                  <v>288</v>
                </pt>
                <pt idx="58">
                  <v>286</v>
                </pt>
                <pt idx="60">
                  <v>281</v>
                </pt>
              </numCache>
            </numRef>
          </val>
          <smooth val="0"/>
        </ser>
        <dLbls>
          <showLegendKey val="0"/>
          <showVal val="0"/>
          <showCatName val="0"/>
          <showSerName val="0"/>
          <showPercent val="0"/>
          <showBubbleSize val="0"/>
        </dLbls>
        <marker val="1"/>
        <smooth val="0"/>
        <axId val="462404296"/>
        <axId val="462404624"/>
      </lineChart>
      <catAx>
        <axId val="462404296"/>
        <scaling>
          <orientation val="minMax"/>
        </scaling>
        <delete val="0"/>
        <axPos val="b"/>
        <numFmt formatCode="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462404624"/>
        <crosses val="autoZero"/>
        <auto val="1"/>
        <lblAlgn val="ctr"/>
        <lblOffset val="100"/>
        <noMultiLvlLbl val="0"/>
      </catAx>
      <valAx>
        <axId val="462404624"/>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462404296"/>
        <crosses val="autoZero"/>
        <crossBetween val="between"/>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accent5"/>
                </a:solidFill>
                <a:latin typeface="+mn-lt"/>
                <a:ea typeface="+mn-ea"/>
                <a:cs typeface="+mn-cs"/>
              </a:defRPr>
            </a:pPr>
            <a:r>
              <a:rPr lang="en-US" sz="1800" b="0" i="0" baseline="0">
                <a:solidFill>
                  <a:schemeClr val="accent5"/>
                </a:solidFill>
                <effectLst/>
              </a:rPr>
              <a:t>THỐNG KÊ KHAY HÀNH LÝ THÁNG 04/2025</a:t>
            </a:r>
            <a:endParaRPr lang="en-US">
              <a:solidFill>
                <a:schemeClr val="accent5"/>
              </a:solidFill>
              <effectLst/>
            </a:endParaRPr>
          </a:p>
        </rich>
      </tx>
      <layout>
        <manualLayout>
          <xMode val="edge"/>
          <yMode val="edge"/>
          <wMode val="factor"/>
          <hMode val="factor"/>
          <x val="0.2431298555415842"/>
          <y val="0.04435606217707062"/>
        </manualLayout>
      </layout>
      <overlay val="0"/>
      <spPr>
        <a:solidFill>
          <a:srgbClr val="FFFF00"/>
        </a:solidFill>
        <a:ln>
          <a:solidFill>
            <a:schemeClr val="accent1"/>
          </a:solidFill>
          <a:prstDash val="solid"/>
        </a:ln>
      </spPr>
      <txPr>
        <a:bodyPr rot="0" spcFirstLastPara="1" vertOverflow="ellipsis" vert="horz" wrap="square" anchor="ctr" anchorCtr="1"/>
        <a:lstStyle/>
        <a:p>
          <a:pPr>
            <a:defRPr sz="1400" b="0" i="0" strike="noStrike" kern="1200" spc="0" baseline="0">
              <a:solidFill>
                <a:schemeClr val="accent5"/>
              </a:solidFill>
              <a:latin typeface="+mn-lt"/>
              <a:ea typeface="+mn-ea"/>
              <a:cs typeface="+mn-cs"/>
            </a:defRPr>
          </a:pPr>
          <a:r>
            <a:t/>
          </a:r>
          <a:endParaRPr lang="en-US"/>
        </a:p>
      </txPr>
    </title>
    <plotArea>
      <layout>
        <manualLayout>
          <layoutTarget val="inner"/>
          <xMode val="edge"/>
          <yMode val="edge"/>
          <wMode val="factor"/>
          <hMode val="factor"/>
          <x val="0.05515010965895992"/>
          <y val="0.01522665904114942"/>
          <w val="0.9353823686103657"/>
          <h val="0.7559074110859595"/>
        </manualLayout>
      </layout>
      <barChart>
        <barDir val="col"/>
        <grouping val="clustered"/>
        <varyColors val="0"/>
        <ser>
          <idx val="0"/>
          <order val="0"/>
          <tx>
            <strRef>
              <f>'Kiểm tra Khay Hành Lý'!$D$198</f>
              <strCache>
                <ptCount val="1"/>
                <pt idx="0">
                  <v>Viags</v>
                </pt>
              </strCache>
            </strRef>
          </tx>
          <spPr>
            <a:solidFill>
              <a:schemeClr val="accent1"/>
            </a:solidFill>
            <a:ln>
              <a:noFill/>
              <a:prstDash val="solid"/>
            </a:ln>
          </spPr>
          <invertIfNegative val="0"/>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Lý'!$D$199:$D$258</f>
              <numCache>
                <formatCode>#.##0</formatCode>
                <ptCount val="60"/>
                <pt idx="0">
                  <v>145</v>
                </pt>
                <pt idx="2">
                  <v>149</v>
                </pt>
                <pt idx="4">
                  <v>148</v>
                </pt>
                <pt idx="6">
                  <v>150</v>
                </pt>
                <pt idx="8">
                  <v>149</v>
                </pt>
                <pt idx="10">
                  <v>147</v>
                </pt>
                <pt idx="12">
                  <v>147</v>
                </pt>
                <pt idx="14">
                  <v>145</v>
                </pt>
                <pt idx="16">
                  <v>159</v>
                </pt>
                <pt idx="18">
                  <v>160</v>
                </pt>
                <pt idx="20">
                  <v>155</v>
                </pt>
                <pt idx="22">
                  <v>156</v>
                </pt>
                <pt idx="24">
                  <v>147</v>
                </pt>
                <pt idx="26">
                  <v>151</v>
                </pt>
                <pt idx="28">
                  <v>146</v>
                </pt>
                <pt idx="30">
                  <v>146</v>
                </pt>
                <pt idx="32">
                  <v>145</v>
                </pt>
                <pt idx="34">
                  <v>145</v>
                </pt>
                <pt idx="36">
                  <v>146</v>
                </pt>
                <pt idx="38">
                  <v>143</v>
                </pt>
                <pt idx="40">
                  <v>148</v>
                </pt>
                <pt idx="42">
                  <v>145</v>
                </pt>
                <pt idx="44">
                  <v>147</v>
                </pt>
                <pt idx="46">
                  <v>145</v>
                </pt>
                <pt idx="48">
                  <v>147</v>
                </pt>
                <pt idx="50">
                  <v>155</v>
                </pt>
                <pt idx="52">
                  <v>150</v>
                </pt>
                <pt idx="54">
                  <v>145</v>
                </pt>
                <pt idx="56">
                  <v>157</v>
                </pt>
                <pt idx="58">
                  <v>155</v>
                </pt>
              </numCache>
            </numRef>
          </val>
        </ser>
        <ser>
          <idx val="1"/>
          <order val="1"/>
          <tx>
            <strRef>
              <f>'Kiểm tra Khay Hành Lý'!$E$198</f>
              <strCache>
                <ptCount val="1"/>
                <pt idx="0">
                  <v>Sags</v>
                </pt>
              </strCache>
            </strRef>
          </tx>
          <spPr>
            <a:solidFill>
              <a:schemeClr val="accent2"/>
            </a:solidFill>
            <a:ln>
              <a:noFill/>
              <a:prstDash val="solid"/>
            </a:ln>
          </spPr>
          <invertIfNegative val="0"/>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Lý'!$E$199:$E$258</f>
              <numCache>
                <formatCode>#.##0</formatCode>
                <ptCount val="60"/>
                <pt idx="0">
                  <v>137</v>
                </pt>
                <pt idx="2">
                  <v>140</v>
                </pt>
                <pt idx="4">
                  <v>138</v>
                </pt>
                <pt idx="6">
                  <v>142</v>
                </pt>
                <pt idx="8">
                  <v>145</v>
                </pt>
                <pt idx="10">
                  <v>139</v>
                </pt>
                <pt idx="12">
                  <v>136</v>
                </pt>
                <pt idx="14">
                  <v>147</v>
                </pt>
                <pt idx="16">
                  <v>134</v>
                </pt>
                <pt idx="18">
                  <v>138</v>
                </pt>
                <pt idx="20">
                  <v>140</v>
                </pt>
                <pt idx="22">
                  <v>141</v>
                </pt>
                <pt idx="24">
                  <v>135</v>
                </pt>
                <pt idx="26">
                  <v>142</v>
                </pt>
                <pt idx="28">
                  <v>142</v>
                </pt>
                <pt idx="30">
                  <v>135</v>
                </pt>
                <pt idx="32">
                  <v>148</v>
                </pt>
                <pt idx="34">
                  <v>138</v>
                </pt>
                <pt idx="36">
                  <v>139</v>
                </pt>
                <pt idx="38">
                  <v>140</v>
                </pt>
                <pt idx="40">
                  <v>145</v>
                </pt>
                <pt idx="42">
                  <v>137</v>
                </pt>
                <pt idx="44">
                  <v>137</v>
                </pt>
                <pt idx="46">
                  <v>139</v>
                </pt>
                <pt idx="48">
                  <v>137</v>
                </pt>
                <pt idx="50">
                  <v>130</v>
                </pt>
                <pt idx="52">
                  <v>136</v>
                </pt>
                <pt idx="54">
                  <v>136</v>
                </pt>
                <pt idx="56">
                  <v>125</v>
                </pt>
                <pt idx="58">
                  <v>130</v>
                </pt>
              </numCache>
            </numRef>
          </val>
        </ser>
        <dLbls>
          <showLegendKey val="0"/>
          <showVal val="0"/>
          <showCatName val="0"/>
          <showSerName val="0"/>
          <showPercent val="0"/>
          <showBubbleSize val="0"/>
        </dLbls>
        <gapWidth val="219"/>
        <axId val="380859560"/>
        <axId val="380858576"/>
      </barChart>
      <lineChart>
        <grouping val="standard"/>
        <varyColors val="0"/>
        <ser>
          <idx val="2"/>
          <order val="2"/>
          <tx>
            <strRef>
              <f>'Kiểm tra Khay Hành Lý'!$F$198</f>
              <strCache>
                <ptCount val="1"/>
                <pt idx="0">
                  <v>TỔNG</v>
                </pt>
              </strCache>
            </strRef>
          </tx>
          <spPr>
            <a:ln w="28575" cap="rnd">
              <a:solidFill>
                <a:schemeClr val="accent3"/>
              </a:solidFill>
              <a:prstDash val="solid"/>
              <a:round/>
            </a:ln>
          </spPr>
          <marker>
            <symbol val="circle"/>
            <size val="5"/>
            <spPr>
              <a:solidFill>
                <a:schemeClr val="accent3"/>
              </a:solidFill>
              <a:ln w="9525">
                <a:solidFill>
                  <a:schemeClr val="accent3"/>
                </a:solidFill>
                <a:prstDash val="solid"/>
              </a:ln>
            </spPr>
          </marker>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Lý'!$F$199:$F$258</f>
              <numCache>
                <formatCode>General</formatCode>
                <ptCount val="60"/>
                <pt idx="0">
                  <v>282</v>
                </pt>
                <pt idx="2">
                  <v>289</v>
                </pt>
                <pt idx="4">
                  <v>286</v>
                </pt>
                <pt idx="6">
                  <v>292</v>
                </pt>
                <pt idx="8">
                  <v>294</v>
                </pt>
                <pt idx="10">
                  <v>286</v>
                </pt>
                <pt idx="12">
                  <v>283</v>
                </pt>
                <pt idx="14">
                  <v>292</v>
                </pt>
                <pt idx="16">
                  <v>293</v>
                </pt>
                <pt idx="18">
                  <v>298</v>
                </pt>
                <pt idx="20">
                  <v>295</v>
                </pt>
                <pt idx="22">
                  <v>297</v>
                </pt>
                <pt idx="24">
                  <v>282</v>
                </pt>
                <pt idx="26">
                  <v>293</v>
                </pt>
                <pt idx="28">
                  <v>288</v>
                </pt>
                <pt idx="30">
                  <v>281</v>
                </pt>
                <pt idx="32">
                  <v>293</v>
                </pt>
                <pt idx="34">
                  <v>283</v>
                </pt>
                <pt idx="36">
                  <v>285</v>
                </pt>
                <pt idx="38">
                  <v>283</v>
                </pt>
                <pt idx="40">
                  <v>293</v>
                </pt>
                <pt idx="42">
                  <v>282</v>
                </pt>
                <pt idx="44">
                  <v>284</v>
                </pt>
                <pt idx="46">
                  <v>284</v>
                </pt>
                <pt idx="48">
                  <v>284</v>
                </pt>
                <pt idx="50">
                  <v>285</v>
                </pt>
                <pt idx="52">
                  <v>286</v>
                </pt>
                <pt idx="54">
                  <v>281</v>
                </pt>
                <pt idx="56">
                  <v>282</v>
                </pt>
                <pt idx="58">
                  <v>285</v>
                </pt>
              </numCache>
            </numRef>
          </val>
          <smooth val="0"/>
        </ser>
        <dLbls>
          <showLegendKey val="0"/>
          <showVal val="0"/>
          <showCatName val="0"/>
          <showSerName val="0"/>
          <showPercent val="0"/>
          <showBubbleSize val="0"/>
        </dLbls>
        <marker val="1"/>
        <smooth val="0"/>
        <axId val="380859560"/>
        <axId val="380858576"/>
      </lineChart>
      <catAx>
        <axId val="380859560"/>
        <scaling>
          <orientation val="minMax"/>
        </scaling>
        <delete val="0"/>
        <axPos val="b"/>
        <numFmt formatCode="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0858576"/>
        <crosses val="autoZero"/>
        <auto val="1"/>
        <lblAlgn val="ctr"/>
        <lblOffset val="100"/>
        <noMultiLvlLbl val="0"/>
      </catAx>
      <valAx>
        <axId val="380858576"/>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0859560"/>
        <crosses val="autoZero"/>
        <crossBetween val="between"/>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accent5"/>
                </a:solidFill>
                <a:latin typeface="+mn-lt"/>
                <a:ea typeface="+mn-ea"/>
                <a:cs typeface="+mn-cs"/>
              </a:defRPr>
            </a:pPr>
            <a:r>
              <a:rPr lang="en-US" sz="1800" b="0" i="0" baseline="0">
                <a:solidFill>
                  <a:schemeClr val="accent5"/>
                </a:solidFill>
                <effectLst/>
              </a:rPr>
              <a:t>THỐNG KÊ KHAY HÀNH LÝ THÁNG 05/2025</a:t>
            </a:r>
            <a:endParaRPr lang="en-US">
              <a:solidFill>
                <a:schemeClr val="accent5"/>
              </a:solidFill>
              <effectLst/>
            </a:endParaRPr>
          </a:p>
        </rich>
      </tx>
      <layout>
        <manualLayout>
          <xMode val="edge"/>
          <yMode val="edge"/>
          <wMode val="factor"/>
          <hMode val="factor"/>
          <x val="0.2431298555415842"/>
          <y val="0.04435606217707062"/>
        </manualLayout>
      </layout>
      <overlay val="0"/>
      <spPr>
        <a:solidFill>
          <a:srgbClr val="FFFF00"/>
        </a:solidFill>
        <a:ln>
          <a:solidFill>
            <a:schemeClr val="accent1"/>
          </a:solidFill>
          <a:prstDash val="solid"/>
        </a:ln>
      </spPr>
      <txPr>
        <a:bodyPr rot="0" spcFirstLastPara="1" vertOverflow="ellipsis" vert="horz" wrap="square" anchor="ctr" anchorCtr="1"/>
        <a:lstStyle/>
        <a:p>
          <a:pPr>
            <a:defRPr sz="1400" b="0" i="0" strike="noStrike" kern="1200" spc="0" baseline="0">
              <a:solidFill>
                <a:schemeClr val="accent5"/>
              </a:solidFill>
              <a:latin typeface="+mn-lt"/>
              <a:ea typeface="+mn-ea"/>
              <a:cs typeface="+mn-cs"/>
            </a:defRPr>
          </a:pPr>
          <a:r>
            <a:t/>
          </a:r>
          <a:endParaRPr lang="en-US"/>
        </a:p>
      </txPr>
    </title>
    <plotArea>
      <layout>
        <manualLayout>
          <layoutTarget val="inner"/>
          <xMode val="edge"/>
          <yMode val="edge"/>
          <wMode val="factor"/>
          <hMode val="factor"/>
          <x val="0.05515010965895992"/>
          <y val="0.01522665904114942"/>
          <w val="0.9353823686103657"/>
          <h val="0.7559074110859595"/>
        </manualLayout>
      </layout>
      <barChart>
        <barDir val="col"/>
        <grouping val="clustered"/>
        <varyColors val="0"/>
        <ser>
          <idx val="0"/>
          <order val="0"/>
          <tx>
            <strRef>
              <f>'Kiểm tra Khay Hành Lý'!$D$198</f>
              <strCache>
                <ptCount val="1"/>
                <pt idx="0">
                  <v>Viags</v>
                </pt>
              </strCache>
            </strRef>
          </tx>
          <spPr>
            <a:solidFill>
              <a:schemeClr val="accent1"/>
            </a:solidFill>
            <a:ln>
              <a:noFill/>
              <a:prstDash val="solid"/>
            </a:ln>
          </spPr>
          <invertIfNegative val="0"/>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Lý'!$D$199:$D$258</f>
              <numCache>
                <formatCode>#.##0</formatCode>
                <ptCount val="60"/>
                <pt idx="0">
                  <v>145</v>
                </pt>
                <pt idx="2">
                  <v>149</v>
                </pt>
                <pt idx="4">
                  <v>148</v>
                </pt>
                <pt idx="6">
                  <v>150</v>
                </pt>
                <pt idx="8">
                  <v>149</v>
                </pt>
                <pt idx="10">
                  <v>147</v>
                </pt>
                <pt idx="12">
                  <v>147</v>
                </pt>
                <pt idx="14">
                  <v>145</v>
                </pt>
                <pt idx="16">
                  <v>159</v>
                </pt>
                <pt idx="18">
                  <v>160</v>
                </pt>
                <pt idx="20">
                  <v>155</v>
                </pt>
                <pt idx="22">
                  <v>156</v>
                </pt>
                <pt idx="24">
                  <v>147</v>
                </pt>
                <pt idx="26">
                  <v>151</v>
                </pt>
                <pt idx="28">
                  <v>146</v>
                </pt>
                <pt idx="30">
                  <v>146</v>
                </pt>
                <pt idx="32">
                  <v>145</v>
                </pt>
                <pt idx="34">
                  <v>145</v>
                </pt>
                <pt idx="36">
                  <v>146</v>
                </pt>
                <pt idx="38">
                  <v>143</v>
                </pt>
                <pt idx="40">
                  <v>148</v>
                </pt>
                <pt idx="42">
                  <v>145</v>
                </pt>
                <pt idx="44">
                  <v>147</v>
                </pt>
                <pt idx="46">
                  <v>145</v>
                </pt>
                <pt idx="48">
                  <v>147</v>
                </pt>
                <pt idx="50">
                  <v>155</v>
                </pt>
                <pt idx="52">
                  <v>150</v>
                </pt>
                <pt idx="54">
                  <v>145</v>
                </pt>
                <pt idx="56">
                  <v>157</v>
                </pt>
                <pt idx="58">
                  <v>155</v>
                </pt>
              </numCache>
            </numRef>
          </val>
        </ser>
        <ser>
          <idx val="1"/>
          <order val="1"/>
          <tx>
            <strRef>
              <f>'Kiểm tra Khay Hành Lý'!$E$198</f>
              <strCache>
                <ptCount val="1"/>
                <pt idx="0">
                  <v>Sags</v>
                </pt>
              </strCache>
            </strRef>
          </tx>
          <spPr>
            <a:solidFill>
              <a:schemeClr val="accent2"/>
            </a:solidFill>
            <a:ln>
              <a:noFill/>
              <a:prstDash val="solid"/>
            </a:ln>
          </spPr>
          <invertIfNegative val="0"/>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Lý'!$E$199:$E$258</f>
              <numCache>
                <formatCode>#.##0</formatCode>
                <ptCount val="60"/>
                <pt idx="0">
                  <v>137</v>
                </pt>
                <pt idx="2">
                  <v>140</v>
                </pt>
                <pt idx="4">
                  <v>138</v>
                </pt>
                <pt idx="6">
                  <v>142</v>
                </pt>
                <pt idx="8">
                  <v>145</v>
                </pt>
                <pt idx="10">
                  <v>139</v>
                </pt>
                <pt idx="12">
                  <v>136</v>
                </pt>
                <pt idx="14">
                  <v>147</v>
                </pt>
                <pt idx="16">
                  <v>134</v>
                </pt>
                <pt idx="18">
                  <v>138</v>
                </pt>
                <pt idx="20">
                  <v>140</v>
                </pt>
                <pt idx="22">
                  <v>141</v>
                </pt>
                <pt idx="24">
                  <v>135</v>
                </pt>
                <pt idx="26">
                  <v>142</v>
                </pt>
                <pt idx="28">
                  <v>142</v>
                </pt>
                <pt idx="30">
                  <v>135</v>
                </pt>
                <pt idx="32">
                  <v>148</v>
                </pt>
                <pt idx="34">
                  <v>138</v>
                </pt>
                <pt idx="36">
                  <v>139</v>
                </pt>
                <pt idx="38">
                  <v>140</v>
                </pt>
                <pt idx="40">
                  <v>145</v>
                </pt>
                <pt idx="42">
                  <v>137</v>
                </pt>
                <pt idx="44">
                  <v>137</v>
                </pt>
                <pt idx="46">
                  <v>139</v>
                </pt>
                <pt idx="48">
                  <v>137</v>
                </pt>
                <pt idx="50">
                  <v>130</v>
                </pt>
                <pt idx="52">
                  <v>136</v>
                </pt>
                <pt idx="54">
                  <v>136</v>
                </pt>
                <pt idx="56">
                  <v>125</v>
                </pt>
                <pt idx="58">
                  <v>130</v>
                </pt>
              </numCache>
            </numRef>
          </val>
        </ser>
        <dLbls>
          <showLegendKey val="0"/>
          <showVal val="0"/>
          <showCatName val="0"/>
          <showSerName val="0"/>
          <showPercent val="0"/>
          <showBubbleSize val="0"/>
        </dLbls>
        <gapWidth val="219"/>
        <axId val="380859560"/>
        <axId val="380858576"/>
      </barChart>
      <lineChart>
        <grouping val="standard"/>
        <varyColors val="0"/>
        <ser>
          <idx val="2"/>
          <order val="2"/>
          <tx>
            <strRef>
              <f>'Kiểm tra Khay Hành Lý'!$F$198</f>
              <strCache>
                <ptCount val="1"/>
                <pt idx="0">
                  <v>TỔNG</v>
                </pt>
              </strCache>
            </strRef>
          </tx>
          <spPr>
            <a:ln w="28575" cap="rnd">
              <a:solidFill>
                <a:schemeClr val="accent3"/>
              </a:solidFill>
              <a:prstDash val="solid"/>
              <a:round/>
            </a:ln>
          </spPr>
          <marker>
            <symbol val="circle"/>
            <size val="5"/>
            <spPr>
              <a:solidFill>
                <a:schemeClr val="accent3"/>
              </a:solidFill>
              <a:ln w="9525">
                <a:solidFill>
                  <a:schemeClr val="accent3"/>
                </a:solidFill>
                <a:prstDash val="solid"/>
              </a:ln>
            </spPr>
          </marker>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Lý'!$F$199:$F$258</f>
              <numCache>
                <formatCode>General</formatCode>
                <ptCount val="60"/>
                <pt idx="0">
                  <v>282</v>
                </pt>
                <pt idx="2">
                  <v>289</v>
                </pt>
                <pt idx="4">
                  <v>286</v>
                </pt>
                <pt idx="6">
                  <v>292</v>
                </pt>
                <pt idx="8">
                  <v>294</v>
                </pt>
                <pt idx="10">
                  <v>286</v>
                </pt>
                <pt idx="12">
                  <v>283</v>
                </pt>
                <pt idx="14">
                  <v>292</v>
                </pt>
                <pt idx="16">
                  <v>293</v>
                </pt>
                <pt idx="18">
                  <v>298</v>
                </pt>
                <pt idx="20">
                  <v>295</v>
                </pt>
                <pt idx="22">
                  <v>297</v>
                </pt>
                <pt idx="24">
                  <v>282</v>
                </pt>
                <pt idx="26">
                  <v>293</v>
                </pt>
                <pt idx="28">
                  <v>288</v>
                </pt>
                <pt idx="30">
                  <v>281</v>
                </pt>
                <pt idx="32">
                  <v>293</v>
                </pt>
                <pt idx="34">
                  <v>283</v>
                </pt>
                <pt idx="36">
                  <v>285</v>
                </pt>
                <pt idx="38">
                  <v>283</v>
                </pt>
                <pt idx="40">
                  <v>293</v>
                </pt>
                <pt idx="42">
                  <v>282</v>
                </pt>
                <pt idx="44">
                  <v>284</v>
                </pt>
                <pt idx="46">
                  <v>284</v>
                </pt>
                <pt idx="48">
                  <v>284</v>
                </pt>
                <pt idx="50">
                  <v>285</v>
                </pt>
                <pt idx="52">
                  <v>286</v>
                </pt>
                <pt idx="54">
                  <v>281</v>
                </pt>
                <pt idx="56">
                  <v>282</v>
                </pt>
                <pt idx="58">
                  <v>285</v>
                </pt>
              </numCache>
            </numRef>
          </val>
          <smooth val="0"/>
        </ser>
        <dLbls>
          <showLegendKey val="0"/>
          <showVal val="0"/>
          <showCatName val="0"/>
          <showSerName val="0"/>
          <showPercent val="0"/>
          <showBubbleSize val="0"/>
        </dLbls>
        <marker val="1"/>
        <smooth val="0"/>
        <axId val="380859560"/>
        <axId val="380858576"/>
      </lineChart>
      <catAx>
        <axId val="380859560"/>
        <scaling>
          <orientation val="minMax"/>
        </scaling>
        <delete val="0"/>
        <axPos val="b"/>
        <numFmt formatCode="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0858576"/>
        <crosses val="autoZero"/>
        <auto val="1"/>
        <lblAlgn val="ctr"/>
        <lblOffset val="100"/>
        <noMultiLvlLbl val="0"/>
      </catAx>
      <valAx>
        <axId val="380858576"/>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0859560"/>
        <crosses val="autoZero"/>
        <crossBetween val="between"/>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THỐNG KÊ KHAY HÀNH LÝ THÁNG 06/2025</a:t>
            </a:r>
          </a:p>
        </rich>
      </tx>
      <layout>
        <manualLayout>
          <xMode val="edge"/>
          <yMode val="edge"/>
          <wMode val="factor"/>
          <hMode val="factor"/>
          <x val="0.2431298555415842"/>
          <y val="0.04435606217707062"/>
        </manualLayout>
      </layout>
      <overlay val="0"/>
      <spPr>
        <a:noFill/>
        <a:ln>
          <a:noFill/>
          <a:prstDash val="solid"/>
        </a:ln>
      </spPr>
      <txPr>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05515010965895992"/>
          <y val="0.01522665904114942"/>
          <w val="0.9353823686103657"/>
          <h val="0.7559074110859595"/>
        </manualLayout>
      </layout>
      <barChart>
        <barDir val="col"/>
        <grouping val="clustered"/>
        <varyColors val="0"/>
        <ser>
          <idx val="0"/>
          <order val="0"/>
          <tx>
            <strRef>
              <f>'Kiểm tra Khay Hành Lý'!$D$198</f>
              <strCache>
                <ptCount val="1"/>
                <pt idx="0">
                  <v>Viags</v>
                </pt>
              </strCache>
            </strRef>
          </tx>
          <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spPr>
          <invertIfNegative val="0"/>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Lý'!$D$199:$D$258</f>
              <numCache>
                <formatCode>#.##0</formatCode>
                <ptCount val="60"/>
                <pt idx="0">
                  <v>145</v>
                </pt>
                <pt idx="2">
                  <v>149</v>
                </pt>
                <pt idx="4">
                  <v>148</v>
                </pt>
                <pt idx="6">
                  <v>150</v>
                </pt>
                <pt idx="8">
                  <v>149</v>
                </pt>
                <pt idx="10">
                  <v>147</v>
                </pt>
                <pt idx="12">
                  <v>147</v>
                </pt>
                <pt idx="14">
                  <v>145</v>
                </pt>
                <pt idx="16">
                  <v>159</v>
                </pt>
                <pt idx="18">
                  <v>160</v>
                </pt>
                <pt idx="20">
                  <v>155</v>
                </pt>
                <pt idx="22">
                  <v>156</v>
                </pt>
                <pt idx="24">
                  <v>147</v>
                </pt>
                <pt idx="26">
                  <v>151</v>
                </pt>
                <pt idx="28">
                  <v>146</v>
                </pt>
                <pt idx="30">
                  <v>146</v>
                </pt>
                <pt idx="32">
                  <v>145</v>
                </pt>
                <pt idx="34">
                  <v>145</v>
                </pt>
                <pt idx="36">
                  <v>146</v>
                </pt>
                <pt idx="38">
                  <v>143</v>
                </pt>
                <pt idx="40">
                  <v>148</v>
                </pt>
                <pt idx="42">
                  <v>145</v>
                </pt>
                <pt idx="44">
                  <v>147</v>
                </pt>
                <pt idx="46">
                  <v>145</v>
                </pt>
                <pt idx="48">
                  <v>147</v>
                </pt>
                <pt idx="50">
                  <v>155</v>
                </pt>
                <pt idx="52">
                  <v>150</v>
                </pt>
                <pt idx="54">
                  <v>145</v>
                </pt>
                <pt idx="56">
                  <v>157</v>
                </pt>
                <pt idx="58">
                  <v>155</v>
                </pt>
              </numCache>
            </numRef>
          </val>
        </ser>
        <ser>
          <idx val="1"/>
          <order val="1"/>
          <tx>
            <strRef>
              <f>'Kiểm tra Khay Hành Lý'!$E$198</f>
              <strCache>
                <ptCount val="1"/>
                <pt idx="0">
                  <v>Sags</v>
                </pt>
              </strCache>
            </strRef>
          </tx>
          <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spPr>
          <invertIfNegative val="0"/>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Lý'!$E$199:$E$258</f>
              <numCache>
                <formatCode>#.##0</formatCode>
                <ptCount val="60"/>
                <pt idx="0">
                  <v>137</v>
                </pt>
                <pt idx="2">
                  <v>140</v>
                </pt>
                <pt idx="4">
                  <v>138</v>
                </pt>
                <pt idx="6">
                  <v>142</v>
                </pt>
                <pt idx="8">
                  <v>145</v>
                </pt>
                <pt idx="10">
                  <v>139</v>
                </pt>
                <pt idx="12">
                  <v>136</v>
                </pt>
                <pt idx="14">
                  <v>147</v>
                </pt>
                <pt idx="16">
                  <v>134</v>
                </pt>
                <pt idx="18">
                  <v>138</v>
                </pt>
                <pt idx="20">
                  <v>140</v>
                </pt>
                <pt idx="22">
                  <v>141</v>
                </pt>
                <pt idx="24">
                  <v>135</v>
                </pt>
                <pt idx="26">
                  <v>142</v>
                </pt>
                <pt idx="28">
                  <v>142</v>
                </pt>
                <pt idx="30">
                  <v>135</v>
                </pt>
                <pt idx="32">
                  <v>148</v>
                </pt>
                <pt idx="34">
                  <v>138</v>
                </pt>
                <pt idx="36">
                  <v>139</v>
                </pt>
                <pt idx="38">
                  <v>140</v>
                </pt>
                <pt idx="40">
                  <v>145</v>
                </pt>
                <pt idx="42">
                  <v>137</v>
                </pt>
                <pt idx="44">
                  <v>137</v>
                </pt>
                <pt idx="46">
                  <v>139</v>
                </pt>
                <pt idx="48">
                  <v>137</v>
                </pt>
                <pt idx="50">
                  <v>130</v>
                </pt>
                <pt idx="52">
                  <v>136</v>
                </pt>
                <pt idx="54">
                  <v>136</v>
                </pt>
                <pt idx="56">
                  <v>125</v>
                </pt>
                <pt idx="58">
                  <v>130</v>
                </pt>
              </numCache>
            </numRef>
          </val>
        </ser>
        <dLbls>
          <showLegendKey val="0"/>
          <showVal val="0"/>
          <showCatName val="0"/>
          <showSerName val="0"/>
          <showPercent val="0"/>
          <showBubbleSize val="0"/>
        </dLbls>
        <gapWidth val="269"/>
        <axId val="380859560"/>
        <axId val="380858576"/>
      </barChart>
      <lineChart>
        <grouping val="standard"/>
        <varyColors val="0"/>
        <ser>
          <idx val="2"/>
          <order val="2"/>
          <tx>
            <strRef>
              <f>'Kiểm tra Khay Hành Lý'!$F$198</f>
              <strCache>
                <ptCount val="1"/>
                <pt idx="0">
                  <v>TỔNG</v>
                </pt>
              </strCache>
            </strRef>
          </tx>
          <spPr>
            <a:ln w="34925" cap="rnd">
              <a:solidFill>
                <a:schemeClr val="accent3"/>
              </a:solidFill>
              <a:prstDash val="solid"/>
              <a:round/>
            </a:ln>
          </spPr>
          <marker>
            <symbol val="circle"/>
            <size val="6"/>
            <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prstDash val="solid"/>
                <a:round/>
              </a:ln>
            </spPr>
          </marker>
          <trendline>
            <spPr>
              <a:ln w="19050" cap="rnd">
                <a:solidFill>
                  <a:schemeClr val="accent3"/>
                </a:solidFill>
                <a:prstDash val="solid"/>
              </a:ln>
            </spPr>
            <trendlineType val="linear"/>
            <dispRSqr val="0"/>
            <dispEq val="0"/>
          </trendline>
          <cat>
            <numRef>
              <f>'Kiểm tra Khay Hành Lý'!$C$199:$C$258</f>
              <numCache>
                <formatCode>0</formatCode>
                <ptCount val="60"/>
                <pt idx="0">
                  <v>1</v>
                </pt>
                <pt idx="2">
                  <v>2</v>
                </pt>
                <pt idx="4">
                  <v>3</v>
                </pt>
                <pt idx="6">
                  <v>4</v>
                </pt>
                <pt idx="8">
                  <v>5</v>
                </pt>
                <pt idx="10">
                  <v>6</v>
                </pt>
                <pt idx="12">
                  <v>7</v>
                </pt>
                <pt idx="14">
                  <v>8</v>
                </pt>
                <pt idx="16">
                  <v>9</v>
                </pt>
                <pt idx="18">
                  <v>10</v>
                </pt>
                <pt idx="20">
                  <v>11</v>
                </pt>
                <pt idx="22">
                  <v>12</v>
                </pt>
                <pt idx="24">
                  <v>13</v>
                </pt>
                <pt idx="26">
                  <v>14</v>
                </pt>
                <pt idx="28">
                  <v>15</v>
                </pt>
                <pt idx="30">
                  <v>16</v>
                </pt>
                <pt idx="32">
                  <v>17</v>
                </pt>
                <pt idx="34">
                  <v>18</v>
                </pt>
                <pt idx="36">
                  <v>19</v>
                </pt>
                <pt idx="38">
                  <v>20</v>
                </pt>
                <pt idx="40">
                  <v>21</v>
                </pt>
                <pt idx="42">
                  <v>22</v>
                </pt>
                <pt idx="44">
                  <v>23</v>
                </pt>
                <pt idx="46">
                  <v>24</v>
                </pt>
                <pt idx="48">
                  <v>25</v>
                </pt>
                <pt idx="50">
                  <v>26</v>
                </pt>
                <pt idx="52">
                  <v>27</v>
                </pt>
                <pt idx="54">
                  <v>28</v>
                </pt>
                <pt idx="56">
                  <v>29</v>
                </pt>
                <pt idx="58">
                  <v>30</v>
                </pt>
              </numCache>
            </numRef>
          </cat>
          <val>
            <numRef>
              <f>'Kiểm tra Khay Hành Lý'!$F$199:$F$258</f>
              <numCache>
                <formatCode>General</formatCode>
                <ptCount val="60"/>
                <pt idx="0">
                  <v>282</v>
                </pt>
                <pt idx="2">
                  <v>289</v>
                </pt>
                <pt idx="4">
                  <v>286</v>
                </pt>
                <pt idx="6">
                  <v>292</v>
                </pt>
                <pt idx="8">
                  <v>294</v>
                </pt>
                <pt idx="10">
                  <v>286</v>
                </pt>
                <pt idx="12">
                  <v>283</v>
                </pt>
                <pt idx="14">
                  <v>292</v>
                </pt>
                <pt idx="16">
                  <v>293</v>
                </pt>
                <pt idx="18">
                  <v>298</v>
                </pt>
                <pt idx="20">
                  <v>295</v>
                </pt>
                <pt idx="22">
                  <v>297</v>
                </pt>
                <pt idx="24">
                  <v>282</v>
                </pt>
                <pt idx="26">
                  <v>293</v>
                </pt>
                <pt idx="28">
                  <v>288</v>
                </pt>
                <pt idx="30">
                  <v>281</v>
                </pt>
                <pt idx="32">
                  <v>293</v>
                </pt>
                <pt idx="34">
                  <v>283</v>
                </pt>
                <pt idx="36">
                  <v>285</v>
                </pt>
                <pt idx="38">
                  <v>283</v>
                </pt>
                <pt idx="40">
                  <v>293</v>
                </pt>
                <pt idx="42">
                  <v>282</v>
                </pt>
                <pt idx="44">
                  <v>284</v>
                </pt>
                <pt idx="46">
                  <v>284</v>
                </pt>
                <pt idx="48">
                  <v>284</v>
                </pt>
                <pt idx="50">
                  <v>285</v>
                </pt>
                <pt idx="52">
                  <v>286</v>
                </pt>
                <pt idx="54">
                  <v>281</v>
                </pt>
                <pt idx="56">
                  <v>282</v>
                </pt>
                <pt idx="58">
                  <v>285</v>
                </pt>
              </numCache>
            </numRef>
          </val>
          <smooth val="0"/>
        </ser>
        <dLbls>
          <showLegendKey val="0"/>
          <showVal val="0"/>
          <showCatName val="0"/>
          <showSerName val="0"/>
          <showPercent val="0"/>
          <showBubbleSize val="0"/>
        </dLbls>
        <marker val="1"/>
        <smooth val="0"/>
        <axId val="380859560"/>
        <axId val="380858576"/>
      </lineChart>
      <catAx>
        <axId val="380859560"/>
        <scaling>
          <orientation val="minMax"/>
        </scaling>
        <delete val="0"/>
        <axPos val="b"/>
        <numFmt formatCode="0" sourceLinked="1"/>
        <majorTickMark val="none"/>
        <minorTickMark val="none"/>
        <tickLblPos val="nextTo"/>
        <spPr>
          <a:noFill/>
          <a:ln w="12700"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0858576"/>
        <crosses val="autoZero"/>
        <auto val="1"/>
        <lblAlgn val="ctr"/>
        <lblOffset val="100"/>
        <noMultiLvlLbl val="0"/>
      </catAx>
      <valAx>
        <axId val="380858576"/>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80859560"/>
        <crosses val="autoZero"/>
        <crossBetween val="between"/>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Admin</author>
  </authors>
  <commentList>
    <comment ref="K263" authorId="0" shapeId="0">
      <text>
        <t>Admin:
*</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347868</colOff>
      <row>3</row>
      <rowOff>24848</rowOff>
    </from>
    <to>
      <col>24</col>
      <colOff>231912</colOff>
      <row>28</row>
      <rowOff>182218</rowOff>
    </to>
    <graphicFrame>
      <nvGraphicFramePr>
        <cNvPr id="1" name="Chart 1"/>
        <cNvGraphicFramePr/>
      </nvGraphicFramePr>
      <xfrm/>
      <a:graphic>
        <a:graphicData uri="http://schemas.openxmlformats.org/drawingml/2006/chart">
          <c:chart r:id="rId1"/>
        </a:graphicData>
      </a:graphic>
    </graphicFrame>
    <clientData/>
  </twoCellAnchor>
  <twoCellAnchor>
    <from>
      <col>7</col>
      <colOff>57979</colOff>
      <row>66</row>
      <rowOff>41412</rowOff>
    </from>
    <to>
      <col>22</col>
      <colOff>505239</colOff>
      <row>92</row>
      <rowOff>82826</rowOff>
    </to>
    <graphicFrame>
      <nvGraphicFramePr>
        <cNvPr id="2" name="Chart 2"/>
        <cNvGraphicFramePr/>
      </nvGraphicFramePr>
      <xfrm/>
      <a:graphic>
        <a:graphicData uri="http://schemas.openxmlformats.org/drawingml/2006/chart">
          <c:chart r:id="rId2"/>
        </a:graphicData>
      </a:graphic>
    </graphicFrame>
    <clientData/>
  </twoCellAnchor>
  <twoCellAnchor>
    <from>
      <col>7</col>
      <colOff>347869</colOff>
      <row>134</row>
      <rowOff>15734</rowOff>
    </from>
    <to>
      <col>22</col>
      <colOff>588064</colOff>
      <row>160</row>
      <rowOff>132522</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455543</colOff>
      <row>206</row>
      <rowOff>157370</rowOff>
    </from>
    <to>
      <col>19</col>
      <colOff>314738</colOff>
      <row>234</row>
      <rowOff>124239</rowOff>
    </to>
    <graphicFrame>
      <nvGraphicFramePr>
        <cNvPr id="4" name="Chart 4"/>
        <cNvGraphicFramePr/>
      </nvGraphicFramePr>
      <xfrm/>
      <a:graphic>
        <a:graphicData uri="http://schemas.openxmlformats.org/drawingml/2006/chart">
          <c:chart r:id="rId4"/>
        </a:graphicData>
      </a:graphic>
    </graphicFrame>
    <clientData/>
  </twoCellAnchor>
  <twoCellAnchor>
    <from>
      <col>7</col>
      <colOff>455543</colOff>
      <row>272</row>
      <rowOff>157370</rowOff>
    </from>
    <to>
      <col>19</col>
      <colOff>314738</colOff>
      <row>300</row>
      <rowOff>124239</rowOff>
    </to>
    <graphicFrame>
      <nvGraphicFramePr>
        <cNvPr id="5" name="Chart 5"/>
        <cNvGraphicFramePr/>
      </nvGraphicFramePr>
      <xfrm/>
      <a:graphic>
        <a:graphicData uri="http://schemas.openxmlformats.org/drawingml/2006/chart">
          <c:chart r:id="rId5"/>
        </a:graphicData>
      </a:graphic>
    </graphicFrame>
    <clientData/>
  </twoCellAnchor>
  <twoCellAnchor>
    <from>
      <col>7</col>
      <colOff>455543</colOff>
      <row>338</row>
      <rowOff>157370</rowOff>
    </from>
    <to>
      <col>19</col>
      <colOff>314738</colOff>
      <row>366</row>
      <rowOff>124239</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FFFF00"/>
    <outlinePr summaryBelow="1" summaryRight="1"/>
    <pageSetUpPr/>
  </sheetPr>
  <dimension ref="C1:T392"/>
  <sheetViews>
    <sheetView topLeftCell="A272" zoomScale="115" zoomScaleNormal="115" workbookViewId="0">
      <selection activeCell="H381" sqref="H381"/>
    </sheetView>
  </sheetViews>
  <sheetFormatPr baseColWidth="8" defaultRowHeight="15"/>
  <cols>
    <col width="13" customWidth="1" style="21" min="3" max="3"/>
    <col width="9.140625" customWidth="1" style="22" min="6" max="6"/>
  </cols>
  <sheetData>
    <row r="1">
      <c r="J1" s="27" t="n"/>
    </row>
    <row r="2"/>
    <row r="3" ht="26.25" customHeight="1" s="22">
      <c r="C3" s="137" t="inlineStr">
        <is>
          <t>THÁNG 01/2025</t>
        </is>
      </c>
    </row>
    <row r="4" ht="18.75" customHeight="1" s="22">
      <c r="C4" s="25" t="inlineStr">
        <is>
          <t>Ngày</t>
        </is>
      </c>
      <c r="D4" s="23" t="inlineStr">
        <is>
          <t>Viags</t>
        </is>
      </c>
      <c r="E4" s="24" t="inlineStr">
        <is>
          <t>Sags</t>
        </is>
      </c>
      <c r="F4" s="26" t="inlineStr">
        <is>
          <t>TỔNG</t>
        </is>
      </c>
    </row>
    <row r="5">
      <c r="C5" s="131" t="n">
        <v>3</v>
      </c>
      <c r="D5" s="201" t="n">
        <v>163</v>
      </c>
      <c r="E5" s="201" t="n">
        <v>165</v>
      </c>
      <c r="F5" s="201">
        <f>SUM(D5:E6)</f>
        <v/>
      </c>
    </row>
    <row r="6">
      <c r="C6" s="246" t="n"/>
      <c r="D6" s="246" t="n"/>
      <c r="E6" s="246" t="n"/>
      <c r="F6" s="246" t="n"/>
    </row>
    <row r="7" ht="15" customHeight="1" s="22">
      <c r="C7" s="131" t="n">
        <v>4</v>
      </c>
      <c r="D7" s="201" t="n">
        <v>153</v>
      </c>
      <c r="E7" s="201" t="n">
        <v>140</v>
      </c>
      <c r="F7" s="201">
        <f>SUM(D7:E8)</f>
        <v/>
      </c>
    </row>
    <row r="8" ht="15" customHeight="1" s="22">
      <c r="C8" s="246" t="n"/>
      <c r="D8" s="246" t="n"/>
      <c r="E8" s="246" t="n"/>
      <c r="F8" s="246" t="n"/>
    </row>
    <row r="9" ht="15" customHeight="1" s="22">
      <c r="C9" s="131" t="n">
        <v>5</v>
      </c>
      <c r="D9" s="201" t="n">
        <v>150</v>
      </c>
      <c r="E9" s="201" t="n">
        <v>138</v>
      </c>
      <c r="F9" s="201">
        <f>SUM(D9:E10)</f>
        <v/>
      </c>
    </row>
    <row r="10" ht="15" customHeight="1" s="22">
      <c r="C10" s="246" t="n"/>
      <c r="D10" s="246" t="n"/>
      <c r="E10" s="246" t="n"/>
      <c r="F10" s="246" t="n"/>
    </row>
    <row r="11" ht="15" customHeight="1" s="22">
      <c r="C11" s="131" t="n">
        <v>6</v>
      </c>
      <c r="D11" s="201" t="n">
        <v>151</v>
      </c>
      <c r="E11" s="201" t="n">
        <v>138</v>
      </c>
      <c r="F11" s="201">
        <f>SUM(D11:E12)</f>
        <v/>
      </c>
    </row>
    <row r="12" ht="15" customHeight="1" s="22">
      <c r="C12" s="246" t="n"/>
      <c r="D12" s="246" t="n"/>
      <c r="E12" s="246" t="n"/>
      <c r="F12" s="246" t="n"/>
    </row>
    <row r="13" ht="15" customHeight="1" s="22">
      <c r="C13" s="131" t="n">
        <v>7</v>
      </c>
      <c r="D13" s="201" t="n">
        <v>114</v>
      </c>
      <c r="E13" s="201" t="n">
        <v>109</v>
      </c>
      <c r="F13" s="201">
        <f>SUM(D13:E14)</f>
        <v/>
      </c>
    </row>
    <row r="14" ht="15" customHeight="1" s="22">
      <c r="C14" s="246" t="n"/>
      <c r="D14" s="246" t="n"/>
      <c r="E14" s="246" t="n"/>
      <c r="F14" s="246" t="n"/>
    </row>
    <row r="15" ht="15" customHeight="1" s="22">
      <c r="C15" s="131" t="n">
        <v>8</v>
      </c>
      <c r="D15" s="201" t="n">
        <v>151</v>
      </c>
      <c r="E15" s="201" t="n">
        <v>141</v>
      </c>
      <c r="F15" s="201">
        <f>SUM(D15:E16)</f>
        <v/>
      </c>
    </row>
    <row r="16" ht="15" customHeight="1" s="22">
      <c r="C16" s="246" t="n"/>
      <c r="D16" s="246" t="n"/>
      <c r="E16" s="246" t="n"/>
      <c r="F16" s="246" t="n"/>
    </row>
    <row r="17" ht="15" customHeight="1" s="22">
      <c r="C17" s="131" t="n">
        <v>9</v>
      </c>
      <c r="D17" s="201" t="n">
        <v>151</v>
      </c>
      <c r="E17" s="201" t="n">
        <v>145</v>
      </c>
      <c r="F17" s="201">
        <f>SUM(D17:E18)</f>
        <v/>
      </c>
    </row>
    <row r="18" ht="15" customHeight="1" s="22">
      <c r="C18" s="246" t="n"/>
      <c r="D18" s="246" t="n"/>
      <c r="E18" s="246" t="n"/>
      <c r="F18" s="246" t="n"/>
    </row>
    <row r="19" ht="15" customHeight="1" s="22">
      <c r="C19" s="131" t="n">
        <v>10</v>
      </c>
      <c r="D19" s="201" t="n">
        <v>135</v>
      </c>
      <c r="E19" s="201" t="n">
        <v>111</v>
      </c>
      <c r="F19" s="201">
        <f>SUM(D19:E20)</f>
        <v/>
      </c>
    </row>
    <row r="20" ht="15" customHeight="1" s="22">
      <c r="C20" s="246" t="n"/>
      <c r="D20" s="246" t="n"/>
      <c r="E20" s="246" t="n"/>
      <c r="F20" s="246" t="n"/>
    </row>
    <row r="21" ht="15" customHeight="1" s="22">
      <c r="C21" s="131" t="n">
        <v>11</v>
      </c>
      <c r="D21" s="201" t="n">
        <v>153</v>
      </c>
      <c r="E21" s="201" t="n">
        <v>144</v>
      </c>
      <c r="F21" s="201">
        <f>SUM(D21:E22)</f>
        <v/>
      </c>
    </row>
    <row r="22" ht="15" customHeight="1" s="22">
      <c r="C22" s="246" t="n"/>
      <c r="D22" s="246" t="n"/>
      <c r="E22" s="246" t="n"/>
      <c r="F22" s="246" t="n"/>
    </row>
    <row r="23" ht="15" customHeight="1" s="22">
      <c r="C23" s="131" t="n">
        <v>12</v>
      </c>
      <c r="D23" s="201" t="n">
        <v>155</v>
      </c>
      <c r="E23" s="201" t="n">
        <v>140</v>
      </c>
      <c r="F23" s="201">
        <f>SUM(D23:E24)</f>
        <v/>
      </c>
    </row>
    <row r="24" ht="15" customHeight="1" s="22">
      <c r="C24" s="246" t="n"/>
      <c r="D24" s="246" t="n"/>
      <c r="E24" s="246" t="n"/>
      <c r="F24" s="246" t="n"/>
    </row>
    <row r="25" ht="15" customHeight="1" s="22">
      <c r="C25" s="131" t="n">
        <v>13</v>
      </c>
      <c r="D25" s="201" t="n">
        <v>154</v>
      </c>
      <c r="E25" s="201" t="n">
        <v>146</v>
      </c>
      <c r="F25" s="201">
        <f>SUM(D25:E26)</f>
        <v/>
      </c>
    </row>
    <row r="26" ht="15" customHeight="1" s="22">
      <c r="C26" s="246" t="n"/>
      <c r="D26" s="246" t="n"/>
      <c r="E26" s="246" t="n"/>
      <c r="F26" s="246" t="n"/>
    </row>
    <row r="27" ht="15" customHeight="1" s="22">
      <c r="C27" s="131" t="n">
        <v>14</v>
      </c>
      <c r="D27" s="201" t="n">
        <v>164</v>
      </c>
      <c r="E27" s="201" t="n">
        <v>155</v>
      </c>
      <c r="F27" s="201">
        <f>SUM(D27:E28)</f>
        <v/>
      </c>
    </row>
    <row r="28" ht="15" customHeight="1" s="22">
      <c r="C28" s="246" t="n"/>
      <c r="D28" s="246" t="n"/>
      <c r="E28" s="246" t="n"/>
      <c r="F28" s="246" t="n"/>
    </row>
    <row r="29" ht="15" customHeight="1" s="22">
      <c r="C29" s="131" t="n">
        <v>15</v>
      </c>
      <c r="D29" s="201" t="n">
        <v>151</v>
      </c>
      <c r="E29" s="201" t="n">
        <v>144</v>
      </c>
      <c r="F29" s="201">
        <f>SUM(D29:E30)</f>
        <v/>
      </c>
    </row>
    <row r="30" ht="15" customHeight="1" s="22">
      <c r="C30" s="246" t="n"/>
      <c r="D30" s="246" t="n"/>
      <c r="E30" s="246" t="n"/>
      <c r="F30" s="246" t="n"/>
    </row>
    <row r="31" ht="15" customHeight="1" s="22">
      <c r="C31" s="131" t="n">
        <v>16</v>
      </c>
      <c r="D31" s="201" t="n">
        <v>163</v>
      </c>
      <c r="E31" s="201" t="n">
        <v>140</v>
      </c>
      <c r="F31" s="201">
        <f>SUM(D31:E32)</f>
        <v/>
      </c>
    </row>
    <row r="32" ht="15" customHeight="1" s="22">
      <c r="C32" s="246" t="n"/>
      <c r="D32" s="246" t="n"/>
      <c r="E32" s="246" t="n"/>
      <c r="F32" s="246" t="n"/>
    </row>
    <row r="33" ht="15" customHeight="1" s="22">
      <c r="C33" s="131" t="n">
        <v>17</v>
      </c>
      <c r="D33" s="201" t="n">
        <v>125</v>
      </c>
      <c r="E33" s="201" t="n">
        <v>163</v>
      </c>
      <c r="F33" s="201">
        <f>SUM(D33:E34)</f>
        <v/>
      </c>
    </row>
    <row r="34" ht="15" customHeight="1" s="22">
      <c r="C34" s="246" t="n"/>
      <c r="D34" s="246" t="n"/>
      <c r="E34" s="246" t="n"/>
      <c r="F34" s="246" t="n"/>
    </row>
    <row r="35" ht="15" customHeight="1" s="22">
      <c r="C35" s="131" t="n">
        <v>18</v>
      </c>
      <c r="D35" s="201" t="n">
        <v>154</v>
      </c>
      <c r="E35" s="201" t="n">
        <v>142</v>
      </c>
      <c r="F35" s="201">
        <f>SUM(D35:E36)</f>
        <v/>
      </c>
    </row>
    <row r="36" ht="15" customHeight="1" s="22">
      <c r="C36" s="246" t="n"/>
      <c r="D36" s="246" t="n"/>
      <c r="E36" s="246" t="n"/>
      <c r="F36" s="246" t="n"/>
    </row>
    <row r="37" ht="15" customHeight="1" s="22">
      <c r="C37" s="131" t="n">
        <v>19</v>
      </c>
      <c r="D37" s="201" t="n">
        <v>169</v>
      </c>
      <c r="E37" s="201" t="n">
        <v>155</v>
      </c>
      <c r="F37" s="201">
        <f>SUM(D37:E38)</f>
        <v/>
      </c>
    </row>
    <row r="38" ht="15" customHeight="1" s="22">
      <c r="C38" s="246" t="n"/>
      <c r="D38" s="246" t="n"/>
      <c r="E38" s="246" t="n"/>
      <c r="F38" s="246" t="n"/>
    </row>
    <row r="39" ht="15" customHeight="1" s="22">
      <c r="C39" s="131" t="n">
        <v>20</v>
      </c>
      <c r="D39" s="201" t="n">
        <v>142</v>
      </c>
      <c r="E39" s="201" t="n">
        <v>150</v>
      </c>
      <c r="F39" s="201">
        <f>SUM(D39:E40)</f>
        <v/>
      </c>
    </row>
    <row r="40" ht="15" customHeight="1" s="22">
      <c r="C40" s="246" t="n"/>
      <c r="D40" s="246" t="n"/>
      <c r="E40" s="246" t="n"/>
      <c r="F40" s="246" t="n"/>
    </row>
    <row r="41" ht="15" customHeight="1" s="22">
      <c r="C41" s="131" t="n">
        <v>21</v>
      </c>
      <c r="D41" s="201" t="n">
        <v>158</v>
      </c>
      <c r="E41" s="201" t="n">
        <v>142</v>
      </c>
      <c r="F41" s="201">
        <f>SUM(D41:E42)</f>
        <v/>
      </c>
    </row>
    <row r="42" ht="15" customHeight="1" s="22">
      <c r="C42" s="246" t="n"/>
      <c r="D42" s="246" t="n"/>
      <c r="E42" s="246" t="n"/>
      <c r="F42" s="246" t="n"/>
    </row>
    <row r="43" ht="15" customHeight="1" s="22">
      <c r="C43" s="131" t="n">
        <v>22</v>
      </c>
      <c r="D43" s="201" t="n">
        <v>162</v>
      </c>
      <c r="E43" s="201" t="n">
        <v>138</v>
      </c>
      <c r="F43" s="201">
        <f>SUM(D43:E44)</f>
        <v/>
      </c>
    </row>
    <row r="44" ht="15" customHeight="1" s="22">
      <c r="C44" s="246" t="n"/>
      <c r="D44" s="246" t="n"/>
      <c r="E44" s="246" t="n"/>
      <c r="F44" s="246" t="n"/>
    </row>
    <row r="45" ht="15" customHeight="1" s="22">
      <c r="C45" s="131" t="n">
        <v>23</v>
      </c>
      <c r="D45" s="201" t="n">
        <v>155</v>
      </c>
      <c r="E45" s="201" t="n">
        <v>139</v>
      </c>
      <c r="F45" s="201">
        <f>SUM(D45:E46)</f>
        <v/>
      </c>
      <c r="H45" t="inlineStr">
        <is>
          <t>                            </t>
        </is>
      </c>
    </row>
    <row r="46" ht="15" customHeight="1" s="22">
      <c r="C46" s="246" t="n"/>
      <c r="D46" s="246" t="n"/>
      <c r="E46" s="246" t="n"/>
      <c r="F46" s="246" t="n"/>
    </row>
    <row r="47" ht="15" customHeight="1" s="22">
      <c r="C47" s="131" t="n">
        <v>24</v>
      </c>
      <c r="D47" s="201" t="n">
        <v>156</v>
      </c>
      <c r="E47" s="201" t="n">
        <v>136</v>
      </c>
      <c r="F47" s="201">
        <f>SUM(D47:E48)</f>
        <v/>
      </c>
    </row>
    <row r="48" ht="15" customHeight="1" s="22">
      <c r="C48" s="246" t="n"/>
      <c r="D48" s="246" t="n"/>
      <c r="E48" s="246" t="n"/>
      <c r="F48" s="246" t="n"/>
    </row>
    <row r="49" ht="15" customHeight="1" s="22">
      <c r="C49" s="131" t="n">
        <v>25</v>
      </c>
      <c r="D49" s="201" t="n">
        <v>144</v>
      </c>
      <c r="E49" s="201" t="n">
        <v>140</v>
      </c>
      <c r="F49" s="201">
        <f>SUM(D49:E50)</f>
        <v/>
      </c>
    </row>
    <row r="50" ht="15" customHeight="1" s="22">
      <c r="C50" s="246" t="n"/>
      <c r="D50" s="246" t="n"/>
      <c r="E50" s="246" t="n"/>
      <c r="F50" s="246" t="n"/>
    </row>
    <row r="51" ht="15" customHeight="1" s="22">
      <c r="C51" s="131" t="n">
        <v>26</v>
      </c>
      <c r="D51" s="201" t="n">
        <v>148</v>
      </c>
      <c r="E51" s="201" t="n">
        <v>143</v>
      </c>
      <c r="F51" s="201">
        <f>SUM(D51:E52)</f>
        <v/>
      </c>
    </row>
    <row r="52" ht="15" customHeight="1" s="22">
      <c r="C52" s="246" t="n"/>
      <c r="D52" s="246" t="n"/>
      <c r="E52" s="246" t="n"/>
      <c r="F52" s="246" t="n"/>
    </row>
    <row r="53" ht="15" customHeight="1" s="22">
      <c r="C53" s="131" t="n">
        <v>27</v>
      </c>
      <c r="D53" s="201" t="n">
        <v>155</v>
      </c>
      <c r="E53" s="201" t="n">
        <v>135</v>
      </c>
      <c r="F53" s="201">
        <f>SUM(D53:E54)</f>
        <v/>
      </c>
    </row>
    <row r="54" ht="15" customHeight="1" s="22">
      <c r="C54" s="246" t="n"/>
      <c r="D54" s="246" t="n"/>
      <c r="E54" s="246" t="n"/>
      <c r="F54" s="246" t="n"/>
    </row>
    <row r="55" ht="15" customHeight="1" s="22">
      <c r="C55" s="131" t="n">
        <v>28</v>
      </c>
      <c r="D55" s="201" t="n">
        <v>157</v>
      </c>
      <c r="E55" s="201" t="n">
        <v>140</v>
      </c>
      <c r="F55" s="201">
        <f>SUM(D55:E56)</f>
        <v/>
      </c>
    </row>
    <row r="56" ht="15" customHeight="1" s="22">
      <c r="C56" s="246" t="n"/>
      <c r="D56" s="246" t="n"/>
      <c r="E56" s="246" t="n"/>
      <c r="F56" s="246" t="n"/>
    </row>
    <row r="57" ht="15" customHeight="1" s="22">
      <c r="C57" s="131" t="n">
        <v>29</v>
      </c>
      <c r="D57" s="201" t="n">
        <v>156</v>
      </c>
      <c r="E57" s="201" t="n">
        <v>137</v>
      </c>
      <c r="F57" s="201">
        <f>SUM(D57:E58)</f>
        <v/>
      </c>
    </row>
    <row r="58" ht="15" customHeight="1" s="22">
      <c r="C58" s="246" t="n"/>
      <c r="D58" s="246" t="n"/>
      <c r="E58" s="246" t="n"/>
      <c r="F58" s="246" t="n"/>
    </row>
    <row r="59" ht="15" customHeight="1" s="22">
      <c r="C59" s="131" t="n">
        <v>30</v>
      </c>
      <c r="D59" s="201" t="n">
        <v>152</v>
      </c>
      <c r="E59" s="201" t="n">
        <v>144</v>
      </c>
      <c r="F59" s="201">
        <f>SUM(D59:E60)</f>
        <v/>
      </c>
    </row>
    <row r="60" ht="15" customHeight="1" s="22">
      <c r="C60" s="246" t="n"/>
      <c r="D60" s="246" t="n"/>
      <c r="E60" s="246" t="n"/>
      <c r="F60" s="246" t="n"/>
    </row>
    <row r="61" ht="15" customHeight="1" s="22">
      <c r="C61" s="131" t="n">
        <v>31</v>
      </c>
      <c r="D61" s="201" t="n">
        <v>154</v>
      </c>
      <c r="E61" s="201" t="n">
        <v>145</v>
      </c>
      <c r="F61" s="201" t="n">
        <v>299</v>
      </c>
    </row>
    <row r="62" ht="15" customHeight="1" s="22">
      <c r="C62" s="246" t="n"/>
      <c r="D62" s="246" t="n"/>
      <c r="E62" s="246" t="n"/>
      <c r="F62" s="246" t="n"/>
    </row>
    <row r="66" ht="26.25" customHeight="1" s="22">
      <c r="C66" s="137" t="inlineStr">
        <is>
          <t>THÁNG 02/2025</t>
        </is>
      </c>
    </row>
    <row r="67" ht="18.75" customHeight="1" s="22">
      <c r="C67" s="25" t="inlineStr">
        <is>
          <t>Ngày</t>
        </is>
      </c>
      <c r="D67" s="23" t="inlineStr">
        <is>
          <t>Viags</t>
        </is>
      </c>
      <c r="E67" s="24" t="inlineStr">
        <is>
          <t>Sags</t>
        </is>
      </c>
      <c r="F67" s="26" t="inlineStr">
        <is>
          <t>TỔNG</t>
        </is>
      </c>
    </row>
    <row r="68" ht="15" customHeight="1" s="22">
      <c r="C68" s="131" t="n">
        <v>1</v>
      </c>
      <c r="D68" s="142" t="n">
        <v>152</v>
      </c>
      <c r="E68" s="143" t="n">
        <v>132</v>
      </c>
      <c r="F68" s="201">
        <f>SUM(D68:E69)</f>
        <v/>
      </c>
    </row>
    <row r="69" ht="15" customHeight="1" s="22">
      <c r="C69" s="246" t="n"/>
      <c r="D69" s="246" t="n"/>
      <c r="E69" s="246" t="n"/>
      <c r="F69" s="246" t="n"/>
    </row>
    <row r="70" ht="15" customHeight="1" s="22">
      <c r="C70" s="131" t="n">
        <v>2</v>
      </c>
      <c r="D70" s="142" t="n">
        <v>153</v>
      </c>
      <c r="E70" s="143" t="n">
        <v>144</v>
      </c>
      <c r="F70" s="201">
        <f>SUM(D70:E71)</f>
        <v/>
      </c>
    </row>
    <row r="71" ht="15" customHeight="1" s="22">
      <c r="C71" s="246" t="n"/>
      <c r="D71" s="246" t="n"/>
      <c r="E71" s="246" t="n"/>
      <c r="F71" s="246" t="n"/>
    </row>
    <row r="72" ht="15" customHeight="1" s="22">
      <c r="C72" s="131" t="n">
        <v>3</v>
      </c>
      <c r="D72" s="142" t="n">
        <v>160</v>
      </c>
      <c r="E72" s="143" t="n">
        <v>135</v>
      </c>
      <c r="F72" s="201">
        <f>SUM(D72:E73)</f>
        <v/>
      </c>
    </row>
    <row r="73" ht="15" customHeight="1" s="22">
      <c r="C73" s="246" t="n"/>
      <c r="D73" s="246" t="n"/>
      <c r="E73" s="246" t="n"/>
      <c r="F73" s="246" t="n"/>
    </row>
    <row r="74" ht="15" customHeight="1" s="22">
      <c r="C74" s="131" t="n">
        <v>4</v>
      </c>
      <c r="D74" s="142" t="n">
        <v>158</v>
      </c>
      <c r="E74" s="143" t="n">
        <v>137</v>
      </c>
      <c r="F74" s="201">
        <f>SUM(D74:E75)</f>
        <v/>
      </c>
    </row>
    <row r="75" ht="15" customHeight="1" s="22">
      <c r="C75" s="246" t="n"/>
      <c r="D75" s="246" t="n"/>
      <c r="E75" s="246" t="n"/>
      <c r="F75" s="246" t="n"/>
    </row>
    <row r="76" ht="15" customHeight="1" s="22">
      <c r="C76" s="131" t="n">
        <v>5</v>
      </c>
      <c r="D76" s="142" t="n">
        <v>147</v>
      </c>
      <c r="E76" s="143" t="n">
        <v>140</v>
      </c>
      <c r="F76" s="201">
        <f>SUM(D76:E77)</f>
        <v/>
      </c>
    </row>
    <row r="77" ht="15" customHeight="1" s="22">
      <c r="C77" s="246" t="n"/>
      <c r="D77" s="246" t="n"/>
      <c r="E77" s="246" t="n"/>
      <c r="F77" s="246" t="n"/>
    </row>
    <row r="78" ht="15" customHeight="1" s="22">
      <c r="C78" s="131" t="n">
        <v>6</v>
      </c>
      <c r="D78" s="142" t="n">
        <v>160</v>
      </c>
      <c r="E78" s="143" t="n">
        <v>135</v>
      </c>
      <c r="F78" s="201">
        <f>SUM(D78:E79)</f>
        <v/>
      </c>
    </row>
    <row r="79" ht="15" customHeight="1" s="22">
      <c r="C79" s="246" t="n"/>
      <c r="D79" s="246" t="n"/>
      <c r="E79" s="246" t="n"/>
      <c r="F79" s="246" t="n"/>
    </row>
    <row r="80" ht="15" customHeight="1" s="22">
      <c r="C80" s="131" t="n">
        <v>7</v>
      </c>
      <c r="D80" s="142" t="n">
        <v>152</v>
      </c>
      <c r="E80" s="143" t="n">
        <v>138</v>
      </c>
      <c r="F80" s="201">
        <f>SUM(D80:E81)</f>
        <v/>
      </c>
    </row>
    <row r="81" ht="15" customHeight="1" s="22">
      <c r="C81" s="246" t="n"/>
      <c r="D81" s="246" t="n"/>
      <c r="E81" s="246" t="n"/>
      <c r="F81" s="246" t="n"/>
    </row>
    <row r="82" ht="15" customHeight="1" s="22">
      <c r="C82" s="131" t="n">
        <v>8</v>
      </c>
      <c r="D82" s="142" t="n">
        <v>153</v>
      </c>
      <c r="E82" s="143" t="n">
        <v>143</v>
      </c>
      <c r="F82" s="201">
        <f>SUM(D82:E83)</f>
        <v/>
      </c>
    </row>
    <row r="83" ht="15" customHeight="1" s="22">
      <c r="C83" s="246" t="n"/>
      <c r="D83" s="246" t="n"/>
      <c r="E83" s="246" t="n"/>
      <c r="F83" s="246" t="n"/>
    </row>
    <row r="84" ht="15" customHeight="1" s="22">
      <c r="C84" s="131" t="n">
        <v>9</v>
      </c>
      <c r="D84" s="142" t="n">
        <v>150</v>
      </c>
      <c r="E84" s="143" t="n">
        <v>145</v>
      </c>
      <c r="F84" s="201">
        <f>SUM(D84:E85)</f>
        <v/>
      </c>
    </row>
    <row r="85" ht="15" customHeight="1" s="22">
      <c r="C85" s="246" t="n"/>
      <c r="D85" s="246" t="n"/>
      <c r="E85" s="246" t="n"/>
      <c r="F85" s="246" t="n"/>
    </row>
    <row r="86" ht="15" customHeight="1" s="22">
      <c r="C86" s="131" t="n">
        <v>10</v>
      </c>
      <c r="D86" s="142" t="n">
        <v>146</v>
      </c>
      <c r="E86" s="143" t="n">
        <v>142</v>
      </c>
      <c r="F86" s="201">
        <f>SUM(D86:E87)</f>
        <v/>
      </c>
    </row>
    <row r="87" ht="15" customHeight="1" s="22">
      <c r="C87" s="246" t="n"/>
      <c r="D87" s="246" t="n"/>
      <c r="E87" s="246" t="n"/>
      <c r="F87" s="246" t="n"/>
    </row>
    <row r="88" ht="15" customHeight="1" s="22">
      <c r="C88" s="131" t="n">
        <v>11</v>
      </c>
      <c r="D88" s="142" t="n">
        <v>154</v>
      </c>
      <c r="E88" s="143" t="n">
        <v>142</v>
      </c>
      <c r="F88" s="201">
        <f>SUM(D88:E89)</f>
        <v/>
      </c>
    </row>
    <row r="89" ht="15" customHeight="1" s="22">
      <c r="C89" s="246" t="n"/>
      <c r="D89" s="246" t="n"/>
      <c r="E89" s="246" t="n"/>
      <c r="F89" s="246" t="n"/>
    </row>
    <row r="90" ht="15" customHeight="1" s="22">
      <c r="C90" s="131" t="n">
        <v>12</v>
      </c>
      <c r="D90" s="142" t="n">
        <v>139</v>
      </c>
      <c r="E90" s="143" t="n">
        <v>110</v>
      </c>
      <c r="F90" s="201">
        <f>SUM(D90:E91)</f>
        <v/>
      </c>
    </row>
    <row r="91" ht="15" customHeight="1" s="22">
      <c r="C91" s="246" t="n"/>
      <c r="D91" s="246" t="n"/>
      <c r="E91" s="246" t="n"/>
      <c r="F91" s="246" t="n"/>
    </row>
    <row r="92" ht="15" customHeight="1" s="22">
      <c r="C92" s="131" t="n">
        <v>13</v>
      </c>
      <c r="D92" s="142" t="n">
        <v>159</v>
      </c>
      <c r="E92" s="143" t="n">
        <v>138</v>
      </c>
      <c r="F92" s="201">
        <f>SUM(D92:E93)</f>
        <v/>
      </c>
    </row>
    <row r="93" ht="15" customHeight="1" s="22">
      <c r="C93" s="246" t="n"/>
      <c r="D93" s="246" t="n"/>
      <c r="E93" s="246" t="n"/>
      <c r="F93" s="246" t="n"/>
    </row>
    <row r="94" ht="15" customHeight="1" s="22">
      <c r="C94" s="131" t="n">
        <v>14</v>
      </c>
      <c r="D94" s="142" t="n">
        <v>156</v>
      </c>
      <c r="E94" s="143" t="n">
        <v>141</v>
      </c>
      <c r="F94" s="201" t="n"/>
    </row>
    <row r="95" ht="15" customHeight="1" s="22">
      <c r="C95" s="246" t="n"/>
      <c r="D95" s="246" t="n"/>
      <c r="E95" s="246" t="n"/>
      <c r="F95" s="246" t="n"/>
    </row>
    <row r="96" ht="15" customHeight="1" s="22">
      <c r="C96" s="131" t="n">
        <v>15</v>
      </c>
      <c r="D96" s="142" t="n">
        <v>158</v>
      </c>
      <c r="E96" s="143" t="n">
        <v>142</v>
      </c>
      <c r="F96" s="201">
        <f>SUM(D96:E97)</f>
        <v/>
      </c>
    </row>
    <row r="97" ht="15" customHeight="1" s="22">
      <c r="C97" s="246" t="n"/>
      <c r="D97" s="246" t="n"/>
      <c r="E97" s="246" t="n"/>
      <c r="F97" s="246" t="n"/>
    </row>
    <row r="98" ht="15" customHeight="1" s="22">
      <c r="C98" s="131" t="n">
        <v>16</v>
      </c>
      <c r="D98" s="142" t="n">
        <v>148</v>
      </c>
      <c r="E98" s="143" t="n">
        <v>140</v>
      </c>
      <c r="F98" s="201">
        <f>SUM(D98:E99)</f>
        <v/>
      </c>
    </row>
    <row r="99" ht="15" customHeight="1" s="22">
      <c r="C99" s="246" t="n"/>
      <c r="D99" s="246" t="n"/>
      <c r="E99" s="246" t="n"/>
      <c r="F99" s="246" t="n"/>
    </row>
    <row r="100" ht="15" customHeight="1" s="22">
      <c r="C100" s="131" t="n">
        <v>17</v>
      </c>
      <c r="D100" s="142" t="n">
        <v>151</v>
      </c>
      <c r="E100" s="143" t="n">
        <v>142</v>
      </c>
      <c r="F100" s="201">
        <f>SUM(D100:E101)</f>
        <v/>
      </c>
    </row>
    <row r="101" ht="15" customHeight="1" s="22">
      <c r="C101" s="246" t="n"/>
      <c r="D101" s="246" t="n"/>
      <c r="E101" s="246" t="n"/>
      <c r="F101" s="246" t="n"/>
    </row>
    <row r="102" ht="15" customHeight="1" s="22">
      <c r="C102" s="131" t="n">
        <v>18</v>
      </c>
      <c r="D102" s="142" t="n">
        <v>155</v>
      </c>
      <c r="E102" s="143" t="n">
        <v>140</v>
      </c>
      <c r="F102" s="201">
        <f>SUM(D102:E103)</f>
        <v/>
      </c>
    </row>
    <row r="103" ht="15" customHeight="1" s="22">
      <c r="C103" s="246" t="n"/>
      <c r="D103" s="246" t="n"/>
      <c r="E103" s="246" t="n"/>
      <c r="F103" s="246" t="n"/>
    </row>
    <row r="104" ht="15" customHeight="1" s="22">
      <c r="C104" s="131" t="n">
        <v>19</v>
      </c>
      <c r="D104" s="142" t="n">
        <v>141</v>
      </c>
      <c r="E104" s="143" t="n">
        <v>150</v>
      </c>
      <c r="F104" s="201">
        <f>SUM(D104:E105)</f>
        <v/>
      </c>
    </row>
    <row r="105" ht="15" customHeight="1" s="22">
      <c r="C105" s="246" t="n"/>
      <c r="D105" s="246" t="n"/>
      <c r="E105" s="246" t="n"/>
      <c r="F105" s="246" t="n"/>
    </row>
    <row r="106" ht="15" customHeight="1" s="22">
      <c r="C106" s="131" t="n">
        <v>20</v>
      </c>
      <c r="D106" s="142" t="n">
        <v>152</v>
      </c>
      <c r="E106" s="143" t="n">
        <v>140</v>
      </c>
      <c r="F106" s="201">
        <f>SUM(D106:E107)</f>
        <v/>
      </c>
    </row>
    <row r="107" ht="15" customHeight="1" s="22">
      <c r="C107" s="246" t="n"/>
      <c r="D107" s="246" t="n"/>
      <c r="E107" s="246" t="n"/>
      <c r="F107" s="246" t="n"/>
    </row>
    <row r="108" ht="15" customHeight="1" s="22">
      <c r="C108" s="131" t="n">
        <v>21</v>
      </c>
      <c r="D108" s="142" t="n">
        <v>150</v>
      </c>
      <c r="E108" s="143" t="n">
        <v>144</v>
      </c>
      <c r="F108" s="201">
        <f>SUM(D108:E109)</f>
        <v/>
      </c>
    </row>
    <row r="109" ht="15" customHeight="1" s="22">
      <c r="C109" s="246" t="n"/>
      <c r="D109" s="246" t="n"/>
      <c r="E109" s="246" t="n"/>
      <c r="F109" s="246" t="n"/>
    </row>
    <row r="110" ht="15" customHeight="1" s="22">
      <c r="C110" s="131" t="n">
        <v>22</v>
      </c>
      <c r="D110" s="142" t="n">
        <v>146</v>
      </c>
      <c r="E110" s="143" t="n">
        <v>143</v>
      </c>
      <c r="F110" s="201">
        <f>SUM(D110:E111)</f>
        <v/>
      </c>
    </row>
    <row r="111" ht="15" customHeight="1" s="22">
      <c r="C111" s="246" t="n"/>
      <c r="D111" s="246" t="n"/>
      <c r="E111" s="246" t="n"/>
      <c r="F111" s="246" t="n"/>
    </row>
    <row r="112" ht="15" customHeight="1" s="22">
      <c r="C112" s="131" t="n">
        <v>23</v>
      </c>
      <c r="D112" s="142" t="n">
        <v>150</v>
      </c>
      <c r="E112" s="143" t="n">
        <v>144</v>
      </c>
      <c r="F112" s="201">
        <f>SUM(D112:E113)</f>
        <v/>
      </c>
    </row>
    <row r="113" ht="15" customHeight="1" s="22">
      <c r="C113" s="246" t="n"/>
      <c r="D113" s="246" t="n"/>
      <c r="E113" s="246" t="n"/>
      <c r="F113" s="246" t="n"/>
    </row>
    <row r="114" ht="15" customHeight="1" s="22">
      <c r="C114" s="131" t="n">
        <v>24</v>
      </c>
      <c r="D114" s="142" t="n">
        <v>152</v>
      </c>
      <c r="E114" s="143" t="n">
        <v>140</v>
      </c>
      <c r="F114" s="201">
        <f>SUM(D114:E115)</f>
        <v/>
      </c>
    </row>
    <row r="115" ht="15" customHeight="1" s="22">
      <c r="C115" s="246" t="n"/>
      <c r="D115" s="246" t="n"/>
      <c r="E115" s="246" t="n"/>
      <c r="F115" s="246" t="n"/>
    </row>
    <row r="116" ht="15" customHeight="1" s="22">
      <c r="C116" s="131" t="n">
        <v>25</v>
      </c>
      <c r="D116" s="142" t="n">
        <v>140</v>
      </c>
      <c r="E116" s="143" t="n">
        <v>147</v>
      </c>
      <c r="F116" s="201">
        <f>SUM(D116:E117)</f>
        <v/>
      </c>
    </row>
    <row r="117" ht="15" customHeight="1" s="22">
      <c r="C117" s="246" t="n"/>
      <c r="D117" s="246" t="n"/>
      <c r="E117" s="246" t="n"/>
      <c r="F117" s="246" t="n"/>
    </row>
    <row r="118" ht="15" customHeight="1" s="22">
      <c r="C118" s="131" t="n">
        <v>26</v>
      </c>
      <c r="D118" s="142" t="n">
        <v>151</v>
      </c>
      <c r="E118" s="143" t="n">
        <v>140</v>
      </c>
      <c r="F118" s="201">
        <f>SUM(D118:E119)</f>
        <v/>
      </c>
    </row>
    <row r="119" ht="15" customHeight="1" s="22">
      <c r="C119" s="246" t="n"/>
      <c r="D119" s="246" t="n"/>
      <c r="E119" s="246" t="n"/>
      <c r="F119" s="246" t="n"/>
    </row>
    <row r="120" ht="15" customHeight="1" s="22">
      <c r="C120" s="131" t="n">
        <v>27</v>
      </c>
      <c r="D120" s="142" t="n">
        <v>141</v>
      </c>
      <c r="E120" s="143" t="n">
        <v>148</v>
      </c>
      <c r="F120" s="201">
        <f>SUM(D120:E121)</f>
        <v/>
      </c>
    </row>
    <row r="121" ht="15" customHeight="1" s="22">
      <c r="C121" s="246" t="n"/>
      <c r="D121" s="246" t="n"/>
      <c r="E121" s="246" t="n"/>
      <c r="F121" s="246" t="n"/>
    </row>
    <row r="122" ht="15" customHeight="1" s="22">
      <c r="C122" s="131" t="n">
        <v>28</v>
      </c>
      <c r="D122" s="142" t="n">
        <v>149</v>
      </c>
      <c r="E122" s="143" t="n">
        <v>144</v>
      </c>
      <c r="F122" s="201">
        <f>SUM(D122:E123)</f>
        <v/>
      </c>
    </row>
    <row r="123" ht="15" customHeight="1" s="22">
      <c r="C123" s="246" t="n"/>
      <c r="D123" s="246" t="n"/>
      <c r="E123" s="246" t="n"/>
      <c r="F123" s="246" t="n"/>
    </row>
    <row r="128" ht="26.25" customHeight="1" s="22">
      <c r="C128" s="137" t="inlineStr">
        <is>
          <t>THÁNG 03/2025</t>
        </is>
      </c>
    </row>
    <row r="129" ht="18.75" customHeight="1" s="22">
      <c r="C129" s="25" t="inlineStr">
        <is>
          <t>Ngày</t>
        </is>
      </c>
      <c r="D129" s="23" t="inlineStr">
        <is>
          <t>Viags</t>
        </is>
      </c>
      <c r="E129" s="24" t="inlineStr">
        <is>
          <t>Sags</t>
        </is>
      </c>
      <c r="F129" s="26" t="inlineStr">
        <is>
          <t>TỔNG</t>
        </is>
      </c>
    </row>
    <row r="130" ht="15" customHeight="1" s="22">
      <c r="C130" s="131" t="n">
        <v>1</v>
      </c>
      <c r="D130" s="142" t="n">
        <v>151</v>
      </c>
      <c r="E130" s="143" t="n">
        <v>139</v>
      </c>
      <c r="F130" s="201">
        <f>SUM(D130:E131)</f>
        <v/>
      </c>
    </row>
    <row r="131" ht="15" customHeight="1" s="22">
      <c r="C131" s="246" t="n"/>
      <c r="D131" s="246" t="n"/>
      <c r="E131" s="246" t="n"/>
      <c r="F131" s="246" t="n"/>
    </row>
    <row r="132" ht="15" customHeight="1" s="22">
      <c r="C132" s="131" t="n">
        <v>2</v>
      </c>
      <c r="D132" s="142" t="n">
        <v>153</v>
      </c>
      <c r="E132" s="143" t="n">
        <v>137</v>
      </c>
      <c r="F132" s="201">
        <f>SUM(D132:E133)</f>
        <v/>
      </c>
    </row>
    <row r="133" ht="15" customHeight="1" s="22">
      <c r="C133" s="246" t="n"/>
      <c r="D133" s="246" t="n"/>
      <c r="E133" s="246" t="n"/>
      <c r="F133" s="246" t="n"/>
    </row>
    <row r="134" ht="15" customHeight="1" s="22">
      <c r="C134" s="131" t="n">
        <v>3</v>
      </c>
      <c r="D134" s="247" t="n">
        <v>145</v>
      </c>
      <c r="E134" s="248" t="n">
        <v>140</v>
      </c>
      <c r="F134" s="201">
        <f>SUM(D134:E135)</f>
        <v/>
      </c>
    </row>
    <row r="135" ht="15" customHeight="1" s="22">
      <c r="C135" s="246" t="n"/>
      <c r="D135" s="246" t="n"/>
      <c r="E135" s="246" t="n"/>
      <c r="F135" s="246" t="n"/>
    </row>
    <row r="136" ht="15" customHeight="1" s="22">
      <c r="C136" s="131" t="n">
        <v>4</v>
      </c>
      <c r="D136" s="247" t="n">
        <v>149</v>
      </c>
      <c r="E136" s="248" t="n">
        <v>139</v>
      </c>
      <c r="F136" s="201">
        <f>SUM(D136:E137)</f>
        <v/>
      </c>
    </row>
    <row r="137" ht="15" customHeight="1" s="22">
      <c r="C137" s="246" t="n"/>
      <c r="D137" s="246" t="n"/>
      <c r="E137" s="246" t="n"/>
      <c r="F137" s="246" t="n"/>
    </row>
    <row r="138" ht="15" customHeight="1" s="22">
      <c r="C138" s="131" t="n">
        <v>5</v>
      </c>
      <c r="D138" s="247" t="n">
        <v>152</v>
      </c>
      <c r="E138" s="248" t="n">
        <v>140</v>
      </c>
      <c r="F138" s="201" t="n"/>
    </row>
    <row r="139" ht="15" customHeight="1" s="22">
      <c r="C139" s="246" t="n"/>
      <c r="D139" s="246" t="n"/>
      <c r="E139" s="246" t="n"/>
      <c r="F139" s="246" t="n"/>
    </row>
    <row r="140" ht="15" customHeight="1" s="22">
      <c r="C140" s="131" t="n">
        <v>6</v>
      </c>
      <c r="D140" s="247" t="n">
        <v>145</v>
      </c>
      <c r="E140" s="248" t="n">
        <v>142</v>
      </c>
      <c r="F140" s="201">
        <f>SUM(D140:E141)</f>
        <v/>
      </c>
    </row>
    <row r="141" ht="15" customHeight="1" s="22">
      <c r="C141" s="246" t="n"/>
      <c r="D141" s="246" t="n"/>
      <c r="E141" s="246" t="n"/>
      <c r="F141" s="246" t="n"/>
    </row>
    <row r="142" ht="15" customHeight="1" s="22">
      <c r="C142" s="131" t="n">
        <v>7</v>
      </c>
      <c r="D142" s="247" t="n">
        <v>150</v>
      </c>
      <c r="E142" s="248" t="n">
        <v>137</v>
      </c>
      <c r="F142" s="201">
        <f>SUM(D142:E143)</f>
        <v/>
      </c>
    </row>
    <row r="143" ht="15" customHeight="1" s="22">
      <c r="C143" s="246" t="n"/>
      <c r="D143" s="246" t="n"/>
      <c r="E143" s="246" t="n"/>
      <c r="F143" s="246" t="n"/>
    </row>
    <row r="144" ht="15" customHeight="1" s="22">
      <c r="C144" s="131" t="n">
        <v>8</v>
      </c>
      <c r="D144" s="247" t="n">
        <v>151</v>
      </c>
      <c r="E144" s="248" t="n">
        <v>138</v>
      </c>
      <c r="F144" s="201">
        <f>SUM(D144:E145)</f>
        <v/>
      </c>
    </row>
    <row r="145" ht="15" customHeight="1" s="22">
      <c r="C145" s="246" t="n"/>
      <c r="D145" s="246" t="n"/>
      <c r="E145" s="246" t="n"/>
      <c r="F145" s="246" t="n"/>
    </row>
    <row r="146" ht="15" customHeight="1" s="22">
      <c r="C146" s="131" t="n">
        <v>9</v>
      </c>
      <c r="D146" s="142" t="n">
        <v>148</v>
      </c>
      <c r="E146" s="143" t="n">
        <v>142</v>
      </c>
      <c r="F146" s="201">
        <f>SUM(D146:E147)</f>
        <v/>
      </c>
    </row>
    <row r="147" ht="15" customHeight="1" s="22">
      <c r="C147" s="246" t="n"/>
      <c r="D147" s="246" t="n"/>
      <c r="E147" s="246" t="n"/>
      <c r="F147" s="246" t="n"/>
    </row>
    <row r="148" ht="15" customHeight="1" s="22">
      <c r="C148" s="131" t="n">
        <v>10</v>
      </c>
      <c r="D148" s="142" t="n">
        <v>148</v>
      </c>
      <c r="E148" s="143" t="n">
        <v>138</v>
      </c>
      <c r="F148" s="201">
        <f>SUM(D148:E149)</f>
        <v/>
      </c>
    </row>
    <row r="149" ht="15" customHeight="1" s="22">
      <c r="C149" s="246" t="n"/>
      <c r="D149" s="246" t="n"/>
      <c r="E149" s="246" t="n"/>
      <c r="F149" s="246" t="n"/>
    </row>
    <row r="150" ht="15" customHeight="1" s="22">
      <c r="C150" s="131" t="n">
        <v>11</v>
      </c>
      <c r="D150" s="142" t="n">
        <v>150</v>
      </c>
      <c r="E150" s="143" t="n">
        <v>141</v>
      </c>
      <c r="F150" s="201">
        <f>SUM(D150:E151)</f>
        <v/>
      </c>
    </row>
    <row r="151" ht="15" customHeight="1" s="22">
      <c r="C151" s="246" t="n"/>
      <c r="D151" s="246" t="n"/>
      <c r="E151" s="246" t="n"/>
      <c r="F151" s="246" t="n"/>
    </row>
    <row r="152" ht="15" customHeight="1" s="22">
      <c r="C152" s="131" t="n">
        <v>12</v>
      </c>
      <c r="D152" s="142" t="n">
        <v>146</v>
      </c>
      <c r="E152" s="143" t="n">
        <v>140</v>
      </c>
      <c r="F152" s="201">
        <f>SUM(D152:E153)</f>
        <v/>
      </c>
    </row>
    <row r="153" ht="15" customHeight="1" s="22">
      <c r="C153" s="246" t="n"/>
      <c r="D153" s="246" t="n"/>
      <c r="E153" s="246" t="n"/>
      <c r="F153" s="246" t="n"/>
    </row>
    <row r="154" ht="15" customHeight="1" s="22">
      <c r="C154" s="131" t="n">
        <v>13</v>
      </c>
      <c r="D154" s="142" t="n">
        <v>146</v>
      </c>
      <c r="E154" s="143" t="n">
        <v>139</v>
      </c>
      <c r="F154" s="201">
        <f>SUM(D154:E155)</f>
        <v/>
      </c>
    </row>
    <row r="155" ht="15" customHeight="1" s="22">
      <c r="C155" s="246" t="n"/>
      <c r="D155" s="246" t="n"/>
      <c r="E155" s="246" t="n"/>
      <c r="F155" s="246" t="n"/>
    </row>
    <row r="156" ht="15" customHeight="1" s="22">
      <c r="C156" s="131" t="n">
        <v>14</v>
      </c>
      <c r="D156" s="142" t="n">
        <v>148</v>
      </c>
      <c r="E156" s="143" t="n">
        <v>143</v>
      </c>
      <c r="F156" s="201">
        <f>SUM(D156:E157)</f>
        <v/>
      </c>
    </row>
    <row r="157" ht="15" customHeight="1" s="22">
      <c r="C157" s="246" t="n"/>
      <c r="D157" s="246" t="n"/>
      <c r="E157" s="246" t="n"/>
      <c r="F157" s="246" t="n"/>
    </row>
    <row r="158" ht="15" customHeight="1" s="22">
      <c r="C158" s="131" t="n">
        <v>15</v>
      </c>
      <c r="D158" s="142" t="n">
        <v>140</v>
      </c>
      <c r="E158" s="143" t="n">
        <v>142</v>
      </c>
      <c r="F158" s="201">
        <f>SUM(D158:E159)</f>
        <v/>
      </c>
    </row>
    <row r="159" ht="15" customHeight="1" s="22">
      <c r="C159" s="246" t="n"/>
      <c r="D159" s="246" t="n"/>
      <c r="E159" s="246" t="n"/>
      <c r="F159" s="246" t="n"/>
    </row>
    <row r="160" ht="15" customHeight="1" s="22">
      <c r="C160" s="131" t="n">
        <v>16</v>
      </c>
      <c r="D160" s="142" t="n">
        <v>147</v>
      </c>
      <c r="E160" s="143" t="n">
        <v>137</v>
      </c>
      <c r="F160" s="201">
        <f>SUM(D160:E161)</f>
        <v/>
      </c>
    </row>
    <row r="161" ht="15" customHeight="1" s="22">
      <c r="C161" s="246" t="n"/>
      <c r="D161" s="246" t="n"/>
      <c r="E161" s="246" t="n"/>
      <c r="F161" s="246" t="n"/>
    </row>
    <row r="162" ht="15" customHeight="1" s="22">
      <c r="C162" s="131" t="n">
        <v>17</v>
      </c>
      <c r="D162" s="142" t="n">
        <v>200</v>
      </c>
      <c r="E162" s="143" t="n">
        <v>140</v>
      </c>
      <c r="F162" s="201">
        <f>SUM(D162:E163)</f>
        <v/>
      </c>
    </row>
    <row r="163" ht="15" customHeight="1" s="22">
      <c r="C163" s="246" t="n"/>
      <c r="D163" s="246" t="n"/>
      <c r="E163" s="246" t="n"/>
      <c r="F163" s="246" t="n"/>
    </row>
    <row r="164" ht="15" customHeight="1" s="22">
      <c r="C164" s="131" t="n">
        <v>18</v>
      </c>
      <c r="D164" s="142" t="n">
        <v>142</v>
      </c>
      <c r="E164" s="143" t="n">
        <v>138</v>
      </c>
      <c r="F164" s="201">
        <f>SUM(D164:E165)</f>
        <v/>
      </c>
    </row>
    <row r="165" ht="15" customHeight="1" s="22">
      <c r="C165" s="246" t="n"/>
      <c r="D165" s="246" t="n"/>
      <c r="E165" s="246" t="n"/>
      <c r="F165" s="246" t="n"/>
    </row>
    <row r="166" ht="15" customHeight="1" s="22">
      <c r="C166" s="131" t="n">
        <v>19</v>
      </c>
      <c r="D166" s="142" t="n">
        <v>148</v>
      </c>
      <c r="E166" s="143" t="n">
        <v>136</v>
      </c>
      <c r="F166" s="201">
        <f>SUM(D166:E167)</f>
        <v/>
      </c>
    </row>
    <row r="167" ht="15" customHeight="1" s="22">
      <c r="C167" s="246" t="n"/>
      <c r="D167" s="246" t="n"/>
      <c r="E167" s="246" t="n"/>
      <c r="F167" s="246" t="n"/>
    </row>
    <row r="168" ht="15" customHeight="1" s="22">
      <c r="C168" s="131" t="n">
        <v>20</v>
      </c>
      <c r="D168" s="142" t="n">
        <v>150</v>
      </c>
      <c r="E168" s="143" t="n">
        <v>131</v>
      </c>
      <c r="F168" s="201">
        <f>SUM(D168:E169)</f>
        <v/>
      </c>
    </row>
    <row r="169" ht="15" customHeight="1" s="22">
      <c r="C169" s="246" t="n"/>
      <c r="D169" s="246" t="n"/>
      <c r="E169" s="246" t="n"/>
      <c r="F169" s="246" t="n"/>
    </row>
    <row r="170" ht="15" customHeight="1" s="22">
      <c r="C170" s="131" t="n">
        <v>21</v>
      </c>
      <c r="D170" s="142" t="n">
        <v>152</v>
      </c>
      <c r="E170" s="143" t="n">
        <v>138</v>
      </c>
      <c r="F170" s="201">
        <f>SUM(D170:E171)</f>
        <v/>
      </c>
    </row>
    <row r="171" ht="15" customHeight="1" s="22">
      <c r="C171" s="246" t="n"/>
      <c r="D171" s="246" t="n"/>
      <c r="E171" s="246" t="n"/>
      <c r="F171" s="246" t="n"/>
    </row>
    <row r="172" ht="15" customHeight="1" s="22">
      <c r="C172" s="131" t="n">
        <v>22</v>
      </c>
      <c r="D172" s="142" t="n">
        <v>148</v>
      </c>
      <c r="E172" s="143" t="n">
        <v>138</v>
      </c>
      <c r="F172" s="201">
        <f>SUM(D172:E173)</f>
        <v/>
      </c>
    </row>
    <row r="173" ht="15" customHeight="1" s="22">
      <c r="C173" s="246" t="n"/>
      <c r="D173" s="246" t="n"/>
      <c r="E173" s="246" t="n"/>
      <c r="F173" s="246" t="n"/>
    </row>
    <row r="174" ht="15" customHeight="1" s="22">
      <c r="C174" s="131" t="n">
        <v>23</v>
      </c>
      <c r="D174" s="142" t="n">
        <v>145</v>
      </c>
      <c r="E174" s="143" t="n">
        <v>139</v>
      </c>
      <c r="F174" s="201">
        <f>SUM(D174:E175)</f>
        <v/>
      </c>
    </row>
    <row r="175" ht="15" customHeight="1" s="22">
      <c r="C175" s="246" t="n"/>
      <c r="D175" s="246" t="n"/>
      <c r="E175" s="246" t="n"/>
      <c r="F175" s="246" t="n"/>
    </row>
    <row r="176" ht="15" customHeight="1" s="22">
      <c r="C176" s="131" t="n">
        <v>24</v>
      </c>
      <c r="D176" s="142" t="n">
        <v>146</v>
      </c>
      <c r="E176" s="143" t="n">
        <v>143</v>
      </c>
      <c r="F176" s="201">
        <f>SUM(D176:E177)</f>
        <v/>
      </c>
    </row>
    <row r="177" ht="15" customHeight="1" s="22">
      <c r="C177" s="246" t="n"/>
      <c r="D177" s="246" t="n"/>
      <c r="E177" s="246" t="n"/>
      <c r="F177" s="246" t="n"/>
    </row>
    <row r="178" ht="15" customHeight="1" s="22">
      <c r="C178" s="131" t="n">
        <v>25</v>
      </c>
      <c r="D178" s="142" t="n">
        <v>149</v>
      </c>
      <c r="E178" s="143" t="n">
        <v>136</v>
      </c>
      <c r="F178" s="201">
        <f>SUM(D178:E179)</f>
        <v/>
      </c>
    </row>
    <row r="179" ht="15" customHeight="1" s="22">
      <c r="C179" s="246" t="n"/>
      <c r="D179" s="246" t="n"/>
      <c r="E179" s="246" t="n"/>
      <c r="F179" s="246" t="n"/>
    </row>
    <row r="180" ht="15" customHeight="1" s="22">
      <c r="C180" s="131" t="n">
        <v>26</v>
      </c>
      <c r="D180" s="142" t="n">
        <v>151</v>
      </c>
      <c r="E180" s="143" t="n">
        <v>135</v>
      </c>
      <c r="F180" s="201">
        <f>SUM(D180:E181)</f>
        <v/>
      </c>
    </row>
    <row r="181" ht="15" customHeight="1" s="22">
      <c r="C181" s="246" t="n"/>
      <c r="D181" s="246" t="n"/>
      <c r="E181" s="246" t="n"/>
      <c r="F181" s="246" t="n"/>
    </row>
    <row r="182" ht="15" customHeight="1" s="22">
      <c r="C182" s="131" t="n">
        <v>27</v>
      </c>
      <c r="D182" s="142" t="n">
        <v>146</v>
      </c>
      <c r="E182" s="143" t="n">
        <v>142</v>
      </c>
      <c r="F182" s="201">
        <f>SUM(D182:E183)</f>
        <v/>
      </c>
    </row>
    <row r="183" ht="15" customHeight="1" s="22">
      <c r="C183" s="246" t="n"/>
      <c r="D183" s="246" t="n"/>
      <c r="E183" s="246" t="n"/>
      <c r="F183" s="246" t="n"/>
    </row>
    <row r="184" ht="15" customHeight="1" s="22">
      <c r="C184" s="131" t="n">
        <v>28</v>
      </c>
      <c r="D184" s="142" t="n">
        <v>146</v>
      </c>
      <c r="E184" s="143" t="n">
        <v>137</v>
      </c>
      <c r="F184" s="201">
        <f>SUM(D184:E185)</f>
        <v/>
      </c>
    </row>
    <row r="185" ht="15" customHeight="1" s="22">
      <c r="C185" s="246" t="n"/>
      <c r="D185" s="246" t="n"/>
      <c r="E185" s="246" t="n"/>
      <c r="F185" s="246" t="n"/>
    </row>
    <row r="186" ht="15" customHeight="1" s="22">
      <c r="C186" s="131" t="n">
        <v>29</v>
      </c>
      <c r="D186" s="142" t="n">
        <v>148</v>
      </c>
      <c r="E186" s="143" t="n">
        <v>140</v>
      </c>
      <c r="F186" s="201">
        <f>SUM(D186:E187)</f>
        <v/>
      </c>
    </row>
    <row r="187" ht="15" customHeight="1" s="22">
      <c r="C187" s="246" t="n"/>
      <c r="D187" s="246" t="n"/>
      <c r="E187" s="246" t="n"/>
      <c r="F187" s="246" t="n"/>
    </row>
    <row r="188" ht="15" customHeight="1" s="22">
      <c r="C188" s="131" t="n">
        <v>30</v>
      </c>
      <c r="D188" s="142" t="n">
        <v>152</v>
      </c>
      <c r="E188" s="143" t="n">
        <v>134</v>
      </c>
      <c r="F188" s="201">
        <f>SUM(D188:E189)</f>
        <v/>
      </c>
    </row>
    <row r="189" ht="15" customHeight="1" s="22">
      <c r="C189" s="246" t="n"/>
      <c r="D189" s="246" t="n"/>
      <c r="E189" s="246" t="n"/>
      <c r="F189" s="246" t="n"/>
    </row>
    <row r="190" ht="15" customHeight="1" s="22">
      <c r="C190" s="131" t="n">
        <v>31</v>
      </c>
      <c r="D190" s="142" t="n">
        <v>146</v>
      </c>
      <c r="E190" s="143" t="n">
        <v>135</v>
      </c>
      <c r="F190" s="201">
        <f>SUM(D190:E191)</f>
        <v/>
      </c>
    </row>
    <row r="191" ht="15" customHeight="1" s="22">
      <c r="C191" s="246" t="n"/>
      <c r="D191" s="246" t="n"/>
      <c r="E191" s="246" t="n"/>
      <c r="F191" s="246" t="n"/>
    </row>
    <row r="197" ht="26.25" customHeight="1" s="22">
      <c r="C197" s="137" t="inlineStr">
        <is>
          <t>THÁNG 04/2025</t>
        </is>
      </c>
    </row>
    <row r="198" ht="18.75" customHeight="1" s="22">
      <c r="C198" s="25" t="n"/>
      <c r="D198" s="23" t="inlineStr">
        <is>
          <t>Viags</t>
        </is>
      </c>
      <c r="E198" s="24" t="inlineStr">
        <is>
          <t>Sags</t>
        </is>
      </c>
      <c r="F198" s="26" t="inlineStr">
        <is>
          <t>TỔNG</t>
        </is>
      </c>
    </row>
    <row r="199" ht="15" customHeight="1" s="22">
      <c r="C199" s="131" t="n">
        <v>1</v>
      </c>
      <c r="D199" s="142" t="n">
        <v>145</v>
      </c>
      <c r="E199" s="143" t="n">
        <v>137</v>
      </c>
      <c r="F199" s="201">
        <f>SUM(D199:E200)</f>
        <v/>
      </c>
    </row>
    <row r="200" ht="15" customHeight="1" s="22">
      <c r="C200" s="246" t="n"/>
      <c r="D200" s="246" t="n"/>
      <c r="E200" s="246" t="n"/>
      <c r="F200" s="246" t="n"/>
    </row>
    <row r="201" ht="15" customHeight="1" s="22">
      <c r="C201" s="131" t="n">
        <v>2</v>
      </c>
      <c r="D201" s="142" t="n">
        <v>149</v>
      </c>
      <c r="E201" s="143" t="n">
        <v>140</v>
      </c>
      <c r="F201" s="201">
        <f>SUM(D201:E202)</f>
        <v/>
      </c>
    </row>
    <row r="202" ht="15" customHeight="1" s="22">
      <c r="C202" s="246" t="n"/>
      <c r="D202" s="246" t="n"/>
      <c r="E202" s="246" t="n"/>
      <c r="F202" s="246" t="n"/>
    </row>
    <row r="203" ht="15" customHeight="1" s="22">
      <c r="C203" s="131" t="n">
        <v>3</v>
      </c>
      <c r="D203" s="142" t="n">
        <v>148</v>
      </c>
      <c r="E203" s="143" t="n">
        <v>138</v>
      </c>
      <c r="F203" s="201">
        <f>SUM(D203:E204)</f>
        <v/>
      </c>
    </row>
    <row r="204" ht="15" customHeight="1" s="22">
      <c r="C204" s="246" t="n"/>
      <c r="D204" s="246" t="n"/>
      <c r="E204" s="246" t="n"/>
      <c r="F204" s="246" t="n"/>
    </row>
    <row r="205" ht="15" customHeight="1" s="22">
      <c r="C205" s="131" t="n">
        <v>4</v>
      </c>
      <c r="D205" s="142" t="n">
        <v>150</v>
      </c>
      <c r="E205" s="143" t="n">
        <v>142</v>
      </c>
      <c r="F205" s="201">
        <f>SUM(D205:E206)</f>
        <v/>
      </c>
    </row>
    <row r="206" ht="15" customHeight="1" s="22">
      <c r="C206" s="246" t="n"/>
      <c r="D206" s="246" t="n"/>
      <c r="E206" s="246" t="n"/>
      <c r="F206" s="246" t="n"/>
    </row>
    <row r="207" ht="15" customHeight="1" s="22">
      <c r="C207" s="131" t="n">
        <v>5</v>
      </c>
      <c r="D207" s="142" t="n">
        <v>149</v>
      </c>
      <c r="E207" s="143" t="n">
        <v>145</v>
      </c>
      <c r="F207" s="201">
        <f>SUM(D207:E208)</f>
        <v/>
      </c>
    </row>
    <row r="208" ht="15" customHeight="1" s="22">
      <c r="C208" s="246" t="n"/>
      <c r="D208" s="246" t="n"/>
      <c r="E208" s="246" t="n"/>
      <c r="F208" s="246" t="n"/>
    </row>
    <row r="209" ht="15" customHeight="1" s="22">
      <c r="C209" s="131" t="n">
        <v>6</v>
      </c>
      <c r="D209" s="142" t="n">
        <v>147</v>
      </c>
      <c r="E209" s="143" t="n">
        <v>139</v>
      </c>
      <c r="F209" s="201">
        <f>SUM(D209:E210)</f>
        <v/>
      </c>
    </row>
    <row r="210" ht="15" customHeight="1" s="22">
      <c r="C210" s="246" t="n"/>
      <c r="D210" s="246" t="n"/>
      <c r="E210" s="246" t="n"/>
      <c r="F210" s="246" t="n"/>
    </row>
    <row r="211" ht="15" customHeight="1" s="22">
      <c r="C211" s="131" t="n">
        <v>7</v>
      </c>
      <c r="D211" s="142" t="n">
        <v>147</v>
      </c>
      <c r="E211" s="143" t="n">
        <v>136</v>
      </c>
      <c r="F211" s="201">
        <f>SUM(D211:E212)</f>
        <v/>
      </c>
    </row>
    <row r="212" ht="15" customHeight="1" s="22">
      <c r="C212" s="246" t="n"/>
      <c r="D212" s="246" t="n"/>
      <c r="E212" s="246" t="n"/>
      <c r="F212" s="246" t="n"/>
    </row>
    <row r="213" ht="15" customHeight="1" s="22">
      <c r="C213" s="131" t="n">
        <v>8</v>
      </c>
      <c r="D213" s="142" t="n">
        <v>145</v>
      </c>
      <c r="E213" s="143" t="n">
        <v>147</v>
      </c>
      <c r="F213" s="201">
        <f>SUM(D213:E214)</f>
        <v/>
      </c>
    </row>
    <row r="214" ht="15" customHeight="1" s="22">
      <c r="C214" s="246" t="n"/>
      <c r="D214" s="246" t="n"/>
      <c r="E214" s="246" t="n"/>
      <c r="F214" s="246" t="n"/>
    </row>
    <row r="215" ht="15" customHeight="1" s="22">
      <c r="C215" s="131" t="n">
        <v>9</v>
      </c>
      <c r="D215" s="142" t="n">
        <v>159</v>
      </c>
      <c r="E215" s="143" t="n">
        <v>134</v>
      </c>
      <c r="F215" s="201">
        <f>SUM(D215:E216)</f>
        <v/>
      </c>
    </row>
    <row r="216" ht="15" customHeight="1" s="22">
      <c r="C216" s="246" t="n"/>
      <c r="D216" s="246" t="n"/>
      <c r="E216" s="246" t="n"/>
      <c r="F216" s="246" t="n"/>
    </row>
    <row r="217" ht="15" customHeight="1" s="22">
      <c r="C217" s="131" t="n">
        <v>10</v>
      </c>
      <c r="D217" s="142" t="n">
        <v>160</v>
      </c>
      <c r="E217" s="143" t="n">
        <v>138</v>
      </c>
      <c r="F217" s="201">
        <f>SUM(D217:E218)</f>
        <v/>
      </c>
    </row>
    <row r="218" ht="15" customHeight="1" s="22">
      <c r="C218" s="246" t="n"/>
      <c r="D218" s="246" t="n"/>
      <c r="E218" s="246" t="n"/>
      <c r="F218" s="246" t="n"/>
    </row>
    <row r="219" ht="15" customHeight="1" s="22">
      <c r="C219" s="131" t="n">
        <v>11</v>
      </c>
      <c r="D219" s="142" t="n">
        <v>155</v>
      </c>
      <c r="E219" s="143" t="n">
        <v>140</v>
      </c>
      <c r="F219" s="201">
        <f>SUM(D219:E220)</f>
        <v/>
      </c>
    </row>
    <row r="220" ht="15" customHeight="1" s="22">
      <c r="C220" s="246" t="n"/>
      <c r="D220" s="246" t="n"/>
      <c r="E220" s="246" t="n"/>
      <c r="F220" s="246" t="n"/>
    </row>
    <row r="221" ht="15" customHeight="1" s="22">
      <c r="C221" s="131" t="n">
        <v>12</v>
      </c>
      <c r="D221" s="142" t="n">
        <v>156</v>
      </c>
      <c r="E221" s="143" t="n">
        <v>141</v>
      </c>
      <c r="F221" s="201">
        <f>SUM(D221:E222)</f>
        <v/>
      </c>
    </row>
    <row r="222" ht="15" customHeight="1" s="22">
      <c r="C222" s="246" t="n"/>
      <c r="D222" s="246" t="n"/>
      <c r="E222" s="246" t="n"/>
      <c r="F222" s="246" t="n"/>
    </row>
    <row r="223" ht="15" customHeight="1" s="22">
      <c r="C223" s="131" t="n">
        <v>13</v>
      </c>
      <c r="D223" s="142" t="n">
        <v>147</v>
      </c>
      <c r="E223" s="143" t="n">
        <v>135</v>
      </c>
      <c r="F223" s="201">
        <f>SUM(D223:E224)</f>
        <v/>
      </c>
    </row>
    <row r="224" ht="15" customHeight="1" s="22">
      <c r="C224" s="246" t="n"/>
      <c r="D224" s="246" t="n"/>
      <c r="E224" s="246" t="n"/>
      <c r="F224" s="246" t="n"/>
    </row>
    <row r="225" ht="15" customHeight="1" s="22">
      <c r="C225" s="131" t="n">
        <v>14</v>
      </c>
      <c r="D225" s="142" t="n">
        <v>151</v>
      </c>
      <c r="E225" s="143" t="n">
        <v>142</v>
      </c>
      <c r="F225" s="201">
        <f>SUM(D225:E226)</f>
        <v/>
      </c>
    </row>
    <row r="226" ht="15" customHeight="1" s="22">
      <c r="C226" s="246" t="n"/>
      <c r="D226" s="246" t="n"/>
      <c r="E226" s="246" t="n"/>
      <c r="F226" s="246" t="n"/>
    </row>
    <row r="227" ht="15" customHeight="1" s="22">
      <c r="C227" s="131" t="n">
        <v>15</v>
      </c>
      <c r="D227" s="142" t="n">
        <v>146</v>
      </c>
      <c r="E227" s="143" t="n">
        <v>142</v>
      </c>
      <c r="F227" s="201">
        <f>SUM(D227:E228)</f>
        <v/>
      </c>
    </row>
    <row r="228" ht="15" customHeight="1" s="22">
      <c r="C228" s="246" t="n"/>
      <c r="D228" s="246" t="n"/>
      <c r="E228" s="246" t="n"/>
      <c r="F228" s="246" t="n"/>
    </row>
    <row r="229" ht="15" customHeight="1" s="22">
      <c r="C229" s="131" t="n">
        <v>16</v>
      </c>
      <c r="D229" s="142" t="n">
        <v>146</v>
      </c>
      <c r="E229" s="143" t="n">
        <v>135</v>
      </c>
      <c r="F229" s="201">
        <f>SUM(D229:E230)</f>
        <v/>
      </c>
    </row>
    <row r="230" ht="15" customHeight="1" s="22">
      <c r="C230" s="246" t="n"/>
      <c r="D230" s="246" t="n"/>
      <c r="E230" s="246" t="n"/>
      <c r="F230" s="246" t="n"/>
    </row>
    <row r="231" ht="15" customHeight="1" s="22">
      <c r="C231" s="131" t="n">
        <v>17</v>
      </c>
      <c r="D231" s="142" t="n">
        <v>145</v>
      </c>
      <c r="E231" s="143" t="n">
        <v>148</v>
      </c>
      <c r="F231" s="201">
        <f>SUM(D231:E232)</f>
        <v/>
      </c>
    </row>
    <row r="232" ht="15" customHeight="1" s="22">
      <c r="C232" s="246" t="n"/>
      <c r="D232" s="246" t="n"/>
      <c r="E232" s="246" t="n"/>
      <c r="F232" s="246" t="n"/>
    </row>
    <row r="233" ht="15" customHeight="1" s="22">
      <c r="C233" s="131" t="n">
        <v>18</v>
      </c>
      <c r="D233" s="142" t="n">
        <v>145</v>
      </c>
      <c r="E233" s="143" t="n">
        <v>138</v>
      </c>
      <c r="F233" s="201">
        <f>SUM(D233:E234)</f>
        <v/>
      </c>
    </row>
    <row r="234" ht="15" customHeight="1" s="22">
      <c r="C234" s="246" t="n"/>
      <c r="D234" s="246" t="n"/>
      <c r="E234" s="246" t="n"/>
      <c r="F234" s="246" t="n"/>
    </row>
    <row r="235" ht="15" customHeight="1" s="22">
      <c r="C235" s="131" t="n">
        <v>19</v>
      </c>
      <c r="D235" s="142" t="n">
        <v>146</v>
      </c>
      <c r="E235" s="143" t="n">
        <v>139</v>
      </c>
      <c r="F235" s="201">
        <f>SUM(D235:E236)</f>
        <v/>
      </c>
    </row>
    <row r="236" ht="15" customHeight="1" s="22">
      <c r="C236" s="246" t="n"/>
      <c r="D236" s="246" t="n"/>
      <c r="E236" s="246" t="n"/>
      <c r="F236" s="246" t="n"/>
    </row>
    <row r="237" ht="15" customHeight="1" s="22">
      <c r="C237" s="131" t="n">
        <v>20</v>
      </c>
      <c r="D237" s="142" t="n">
        <v>143</v>
      </c>
      <c r="E237" s="143" t="n">
        <v>140</v>
      </c>
      <c r="F237" s="201">
        <f>SUM(D237:E238)</f>
        <v/>
      </c>
    </row>
    <row r="238" ht="15" customHeight="1" s="22">
      <c r="C238" s="246" t="n"/>
      <c r="D238" s="246" t="n"/>
      <c r="E238" s="246" t="n"/>
      <c r="F238" s="246" t="n"/>
    </row>
    <row r="239" ht="15" customHeight="1" s="22">
      <c r="C239" s="131" t="n">
        <v>21</v>
      </c>
      <c r="D239" s="142" t="n">
        <v>148</v>
      </c>
      <c r="E239" s="143" t="n">
        <v>145</v>
      </c>
      <c r="F239" s="201">
        <f>SUM(D239:E240)</f>
        <v/>
      </c>
    </row>
    <row r="240" ht="15" customHeight="1" s="22">
      <c r="C240" s="246" t="n"/>
      <c r="D240" s="246" t="n"/>
      <c r="E240" s="246" t="n"/>
      <c r="F240" s="246" t="n"/>
    </row>
    <row r="241" ht="15" customHeight="1" s="22">
      <c r="C241" s="131" t="n">
        <v>22</v>
      </c>
      <c r="D241" s="142" t="n">
        <v>145</v>
      </c>
      <c r="E241" s="143" t="n">
        <v>137</v>
      </c>
      <c r="F241" s="201">
        <f>SUM(D241:E242)</f>
        <v/>
      </c>
    </row>
    <row r="242" ht="15" customHeight="1" s="22">
      <c r="C242" s="246" t="n"/>
      <c r="D242" s="246" t="n"/>
      <c r="E242" s="246" t="n"/>
      <c r="F242" s="246" t="n"/>
    </row>
    <row r="243" ht="15" customHeight="1" s="22">
      <c r="C243" s="131" t="n">
        <v>23</v>
      </c>
      <c r="D243" s="142" t="n">
        <v>147</v>
      </c>
      <c r="E243" s="143" t="n">
        <v>137</v>
      </c>
      <c r="F243" s="201">
        <f>SUM(D243:E244)</f>
        <v/>
      </c>
    </row>
    <row r="244" ht="15" customHeight="1" s="22">
      <c r="C244" s="246" t="n"/>
      <c r="D244" s="246" t="n"/>
      <c r="E244" s="246" t="n"/>
      <c r="F244" s="246" t="n"/>
    </row>
    <row r="245" ht="15" customHeight="1" s="22">
      <c r="C245" s="131" t="n">
        <v>24</v>
      </c>
      <c r="D245" s="142" t="n">
        <v>145</v>
      </c>
      <c r="E245" s="143" t="n">
        <v>139</v>
      </c>
      <c r="F245" s="201">
        <f>SUM(D245:E246)</f>
        <v/>
      </c>
    </row>
    <row r="246" ht="15" customHeight="1" s="22">
      <c r="C246" s="246" t="n"/>
      <c r="D246" s="246" t="n"/>
      <c r="E246" s="246" t="n"/>
      <c r="F246" s="246" t="n"/>
    </row>
    <row r="247" ht="15" customHeight="1" s="22">
      <c r="C247" s="131" t="n">
        <v>25</v>
      </c>
      <c r="D247" s="142" t="n">
        <v>147</v>
      </c>
      <c r="E247" s="143" t="n">
        <v>137</v>
      </c>
      <c r="F247" s="201">
        <f>SUM(D247:E248)</f>
        <v/>
      </c>
    </row>
    <row r="248" ht="15" customHeight="1" s="22">
      <c r="C248" s="246" t="n"/>
      <c r="D248" s="246" t="n"/>
      <c r="E248" s="246" t="n"/>
      <c r="F248" s="246" t="n"/>
    </row>
    <row r="249" ht="15" customHeight="1" s="22">
      <c r="C249" s="131" t="n">
        <v>26</v>
      </c>
      <c r="D249" s="142" t="n">
        <v>155</v>
      </c>
      <c r="E249" s="143" t="n">
        <v>130</v>
      </c>
      <c r="F249" s="201">
        <f>SUM(D249:E250)</f>
        <v/>
      </c>
    </row>
    <row r="250" ht="15" customHeight="1" s="22">
      <c r="C250" s="246" t="n"/>
      <c r="D250" s="246" t="n"/>
      <c r="E250" s="246" t="n"/>
      <c r="F250" s="246" t="n"/>
    </row>
    <row r="251" ht="15" customHeight="1" s="22">
      <c r="C251" s="131" t="n">
        <v>27</v>
      </c>
      <c r="D251" s="142" t="n">
        <v>150</v>
      </c>
      <c r="E251" s="143" t="n">
        <v>136</v>
      </c>
      <c r="F251" s="201">
        <f>SUM(D251:E252)</f>
        <v/>
      </c>
    </row>
    <row r="252" ht="15" customHeight="1" s="22">
      <c r="C252" s="246" t="n"/>
      <c r="D252" s="246" t="n"/>
      <c r="E252" s="246" t="n"/>
      <c r="F252" s="246" t="n"/>
    </row>
    <row r="253" ht="15" customHeight="1" s="22">
      <c r="C253" s="131" t="n">
        <v>28</v>
      </c>
      <c r="D253" s="142" t="n">
        <v>145</v>
      </c>
      <c r="E253" s="143" t="n">
        <v>136</v>
      </c>
      <c r="F253" s="201">
        <f>SUM(D253:E254)</f>
        <v/>
      </c>
    </row>
    <row r="254" ht="15" customHeight="1" s="22">
      <c r="C254" s="246" t="n"/>
      <c r="D254" s="246" t="n"/>
      <c r="E254" s="246" t="n"/>
      <c r="F254" s="246" t="n"/>
    </row>
    <row r="255" ht="15" customHeight="1" s="22">
      <c r="C255" s="131" t="n">
        <v>29</v>
      </c>
      <c r="D255" s="142" t="n">
        <v>157</v>
      </c>
      <c r="E255" s="143" t="n">
        <v>125</v>
      </c>
      <c r="F255" s="201">
        <f>SUM(D255:E256)</f>
        <v/>
      </c>
    </row>
    <row r="256" ht="15" customHeight="1" s="22">
      <c r="C256" s="246" t="n"/>
      <c r="D256" s="246" t="n"/>
      <c r="E256" s="246" t="n"/>
      <c r="F256" s="246" t="n"/>
    </row>
    <row r="257" ht="15" customHeight="1" s="22">
      <c r="C257" s="131" t="n">
        <v>30</v>
      </c>
      <c r="D257" s="142" t="n">
        <v>155</v>
      </c>
      <c r="E257" s="143" t="n">
        <v>130</v>
      </c>
      <c r="F257" s="201">
        <f>SUM(D257:E258)</f>
        <v/>
      </c>
    </row>
    <row r="258" ht="15" customHeight="1" s="22">
      <c r="C258" s="246" t="n"/>
      <c r="D258" s="246" t="n"/>
      <c r="E258" s="246" t="n"/>
      <c r="F258" s="246" t="n"/>
    </row>
    <row r="259" ht="15" customHeight="1" s="22">
      <c r="D259" s="21" t="n"/>
      <c r="E259" s="21" t="n"/>
    </row>
    <row r="260" ht="15" customHeight="1" s="22">
      <c r="D260" s="21" t="n"/>
      <c r="E260" s="21" t="n"/>
    </row>
    <row r="261" ht="15" customHeight="1" s="22">
      <c r="D261" s="21" t="n"/>
      <c r="E261" s="21" t="n"/>
    </row>
    <row r="262" ht="15" customHeight="1" s="22">
      <c r="D262" s="21" t="n"/>
      <c r="E262" s="21" t="n"/>
    </row>
    <row r="263" ht="26.25" customHeight="1" s="22">
      <c r="C263" s="137" t="inlineStr">
        <is>
          <t>THÁNG 05/2025</t>
        </is>
      </c>
    </row>
    <row r="264" ht="18.75" customHeight="1" s="22">
      <c r="C264" s="25" t="n"/>
      <c r="D264" s="23" t="inlineStr">
        <is>
          <t>Viags</t>
        </is>
      </c>
      <c r="E264" s="24" t="inlineStr">
        <is>
          <t>Sags</t>
        </is>
      </c>
      <c r="F264" s="26" t="inlineStr">
        <is>
          <t>TỔNG</t>
        </is>
      </c>
    </row>
    <row r="265" ht="15" customHeight="1" s="22">
      <c r="C265" s="131" t="n">
        <v>1</v>
      </c>
      <c r="D265" s="142" t="n">
        <v>145</v>
      </c>
      <c r="E265" s="143" t="n">
        <v>137</v>
      </c>
      <c r="F265" s="201">
        <f>SUM(D265:E266)</f>
        <v/>
      </c>
    </row>
    <row r="266" ht="15" customHeight="1" s="22">
      <c r="C266" s="246" t="n"/>
      <c r="D266" s="246" t="n"/>
      <c r="E266" s="246" t="n"/>
      <c r="F266" s="246" t="n"/>
    </row>
    <row r="267" ht="15" customHeight="1" s="22">
      <c r="C267" s="131" t="n">
        <v>2</v>
      </c>
      <c r="D267" s="142" t="n">
        <v>145</v>
      </c>
      <c r="E267" s="143" t="n">
        <v>136</v>
      </c>
      <c r="F267" s="201">
        <f>SUM(D267:E268)</f>
        <v/>
      </c>
    </row>
    <row r="268" ht="15" customHeight="1" s="22">
      <c r="C268" s="246" t="n"/>
      <c r="D268" s="246" t="n"/>
      <c r="E268" s="246" t="n"/>
      <c r="F268" s="246" t="n"/>
    </row>
    <row r="269" ht="15" customHeight="1" s="22">
      <c r="C269" s="131" t="n">
        <v>3</v>
      </c>
      <c r="D269" s="142" t="n">
        <v>148</v>
      </c>
      <c r="E269" s="143" t="n">
        <v>137</v>
      </c>
      <c r="F269" s="201">
        <f>SUM(D269:E270)</f>
        <v/>
      </c>
    </row>
    <row r="270" ht="15" customHeight="1" s="22">
      <c r="C270" s="246" t="n"/>
      <c r="D270" s="246" t="n"/>
      <c r="E270" s="246" t="n"/>
      <c r="F270" s="246" t="n"/>
    </row>
    <row r="271" ht="15" customHeight="1" s="22">
      <c r="C271" s="131" t="n">
        <v>4</v>
      </c>
      <c r="D271" s="142" t="n">
        <v>145</v>
      </c>
      <c r="E271" s="143" t="n">
        <v>138</v>
      </c>
      <c r="F271" s="201">
        <f>SUM(D271:E272)</f>
        <v/>
      </c>
    </row>
    <row r="272" ht="15" customHeight="1" s="22">
      <c r="C272" s="246" t="n"/>
      <c r="D272" s="246" t="n"/>
      <c r="E272" s="246" t="n"/>
      <c r="F272" s="246" t="n"/>
    </row>
    <row r="273" ht="15" customHeight="1" s="22">
      <c r="C273" s="131" t="n">
        <v>5</v>
      </c>
      <c r="D273" s="142" t="n">
        <v>147</v>
      </c>
      <c r="E273" s="143" t="n">
        <v>137</v>
      </c>
      <c r="F273" s="201">
        <f>SUM(D273:E274)</f>
        <v/>
      </c>
    </row>
    <row r="274" ht="15" customHeight="1" s="22">
      <c r="C274" s="246" t="n"/>
      <c r="D274" s="246" t="n"/>
      <c r="E274" s="246" t="n"/>
      <c r="F274" s="246" t="n"/>
    </row>
    <row r="275" ht="15" customHeight="1" s="22">
      <c r="C275" s="131" t="n">
        <v>6</v>
      </c>
      <c r="D275" s="142" t="n">
        <v>146</v>
      </c>
      <c r="E275" s="143" t="n">
        <v>140</v>
      </c>
      <c r="F275" s="201">
        <f>SUM(D275:E276)</f>
        <v/>
      </c>
    </row>
    <row r="276" ht="15" customHeight="1" s="22">
      <c r="C276" s="246" t="n"/>
      <c r="D276" s="246" t="n"/>
      <c r="E276" s="246" t="n"/>
      <c r="F276" s="246" t="n"/>
    </row>
    <row r="277" ht="15" customHeight="1" s="22">
      <c r="C277" s="131" t="n">
        <v>7</v>
      </c>
      <c r="D277" s="142" t="n">
        <v>145</v>
      </c>
      <c r="E277" s="143" t="n">
        <v>135</v>
      </c>
      <c r="F277" s="201">
        <f>SUM(D277:E278)</f>
        <v/>
      </c>
    </row>
    <row r="278" ht="15" customHeight="1" s="22">
      <c r="C278" s="246" t="n"/>
      <c r="D278" s="246" t="n"/>
      <c r="E278" s="246" t="n"/>
      <c r="F278" s="246" t="n"/>
    </row>
    <row r="279" ht="15" customHeight="1" s="22">
      <c r="C279" s="131" t="n">
        <v>8</v>
      </c>
      <c r="D279" s="142" t="n">
        <v>147</v>
      </c>
      <c r="E279" s="143" t="n">
        <v>138</v>
      </c>
      <c r="F279" s="201">
        <f>SUM(D279:E280)</f>
        <v/>
      </c>
    </row>
    <row r="280" ht="15" customHeight="1" s="22">
      <c r="C280" s="246" t="n"/>
      <c r="D280" s="246" t="n"/>
      <c r="E280" s="246" t="n"/>
      <c r="F280" s="246" t="n"/>
    </row>
    <row r="281" ht="15" customHeight="1" s="22">
      <c r="C281" s="131" t="n">
        <v>9</v>
      </c>
      <c r="D281" s="142" t="n">
        <v>145</v>
      </c>
      <c r="E281" s="143" t="n">
        <v>140</v>
      </c>
      <c r="F281" s="201">
        <f>SUM(D281:E282)</f>
        <v/>
      </c>
    </row>
    <row r="282" ht="15" customHeight="1" s="22">
      <c r="C282" s="246" t="n"/>
      <c r="D282" s="246" t="n"/>
      <c r="E282" s="246" t="n"/>
      <c r="F282" s="246" t="n"/>
    </row>
    <row r="283" ht="15" customHeight="1" s="22">
      <c r="C283" s="131" t="n">
        <v>10</v>
      </c>
      <c r="D283" s="142" t="n">
        <v>145</v>
      </c>
      <c r="E283" s="143" t="n">
        <v>140</v>
      </c>
      <c r="F283" s="201">
        <f>SUM(D283:E284)</f>
        <v/>
      </c>
    </row>
    <row r="284" ht="15" customHeight="1" s="22">
      <c r="C284" s="246" t="n"/>
      <c r="D284" s="246" t="n"/>
      <c r="E284" s="246" t="n"/>
      <c r="F284" s="246" t="n"/>
    </row>
    <row r="285" ht="15" customHeight="1" s="22">
      <c r="C285" s="131" t="n">
        <v>11</v>
      </c>
      <c r="D285" s="142" t="n">
        <v>147</v>
      </c>
      <c r="E285" s="143" t="n">
        <v>136</v>
      </c>
      <c r="F285" s="201">
        <f>SUM(D285:E286)</f>
        <v/>
      </c>
    </row>
    <row r="286" ht="15" customHeight="1" s="22">
      <c r="C286" s="246" t="n"/>
      <c r="D286" s="246" t="n"/>
      <c r="E286" s="246" t="n"/>
      <c r="F286" s="246" t="n"/>
    </row>
    <row r="287" ht="15" customHeight="1" s="22">
      <c r="C287" s="131" t="n">
        <v>12</v>
      </c>
      <c r="D287" s="142" t="n">
        <v>146</v>
      </c>
      <c r="E287" s="143" t="n">
        <v>135</v>
      </c>
      <c r="F287" s="201">
        <f>SUM(D287:E288)</f>
        <v/>
      </c>
    </row>
    <row r="288" ht="15" customHeight="1" s="22">
      <c r="C288" s="246" t="n"/>
      <c r="D288" s="246" t="n"/>
      <c r="E288" s="246" t="n"/>
      <c r="F288" s="246" t="n"/>
    </row>
    <row r="289" ht="15" customHeight="1" s="22">
      <c r="C289" s="131" t="n">
        <v>13</v>
      </c>
      <c r="D289" s="142" t="n">
        <v>145</v>
      </c>
      <c r="E289" s="143" t="n">
        <v>136</v>
      </c>
      <c r="F289" s="201">
        <f>SUM(D289:E290)</f>
        <v/>
      </c>
    </row>
    <row r="290" ht="15" customHeight="1" s="22">
      <c r="C290" s="246" t="n"/>
      <c r="D290" s="246" t="n"/>
      <c r="E290" s="246" t="n"/>
      <c r="F290" s="246" t="n"/>
    </row>
    <row r="291" ht="15" customHeight="1" s="22">
      <c r="C291" s="131" t="n">
        <v>14</v>
      </c>
      <c r="D291" s="142" t="n">
        <v>147</v>
      </c>
      <c r="E291" s="143" t="n">
        <v>137</v>
      </c>
      <c r="F291" s="201">
        <f>SUM(D291:E292)</f>
        <v/>
      </c>
    </row>
    <row r="292" ht="15" customHeight="1" s="22">
      <c r="C292" s="246" t="n"/>
      <c r="D292" s="246" t="n"/>
      <c r="E292" s="246" t="n"/>
      <c r="F292" s="246" t="n"/>
    </row>
    <row r="293" ht="15" customHeight="1" s="22">
      <c r="C293" s="131" t="n">
        <v>15</v>
      </c>
      <c r="D293" s="142" t="n">
        <v>145</v>
      </c>
      <c r="E293" s="143" t="n">
        <v>141</v>
      </c>
      <c r="F293" s="201">
        <f>SUM(D293:E294)</f>
        <v/>
      </c>
    </row>
    <row r="294" ht="15" customHeight="1" s="22">
      <c r="C294" s="246" t="n"/>
      <c r="D294" s="246" t="n"/>
      <c r="E294" s="246" t="n"/>
      <c r="F294" s="246" t="n"/>
    </row>
    <row r="295" ht="15" customHeight="1" s="22">
      <c r="C295" s="131" t="n">
        <v>16</v>
      </c>
      <c r="D295" s="142" t="n">
        <v>144</v>
      </c>
      <c r="E295" s="143" t="n">
        <v>138</v>
      </c>
      <c r="F295" s="201">
        <f>SUM(D295:E296)</f>
        <v/>
      </c>
    </row>
    <row r="296" ht="15" customHeight="1" s="22">
      <c r="C296" s="246" t="n"/>
      <c r="D296" s="246" t="n"/>
      <c r="E296" s="246" t="n"/>
      <c r="F296" s="246" t="n"/>
    </row>
    <row r="297" ht="15" customHeight="1" s="22">
      <c r="C297" s="131" t="n">
        <v>17</v>
      </c>
      <c r="D297" s="142" t="n">
        <v>148</v>
      </c>
      <c r="E297" s="143" t="n">
        <v>136</v>
      </c>
      <c r="F297" s="201">
        <f>SUM(D297:E298)</f>
        <v/>
      </c>
    </row>
    <row r="298" ht="15" customHeight="1" s="22">
      <c r="C298" s="246" t="n"/>
      <c r="D298" s="246" t="n"/>
      <c r="E298" s="246" t="n"/>
      <c r="F298" s="246" t="n"/>
    </row>
    <row r="299" ht="15" customHeight="1" s="22">
      <c r="C299" s="131" t="n">
        <v>18</v>
      </c>
      <c r="D299" s="142" t="n">
        <v>150</v>
      </c>
      <c r="E299" s="143" t="n">
        <v>140</v>
      </c>
      <c r="F299" s="201">
        <f>SUM(D299:E300)</f>
        <v/>
      </c>
    </row>
    <row r="300" ht="15" customHeight="1" s="22">
      <c r="C300" s="246" t="n"/>
      <c r="D300" s="246" t="n"/>
      <c r="E300" s="246" t="n"/>
      <c r="F300" s="246" t="n"/>
    </row>
    <row r="301" ht="15" customHeight="1" s="22">
      <c r="C301" s="131" t="n">
        <v>19</v>
      </c>
      <c r="D301" s="142" t="n">
        <v>144</v>
      </c>
      <c r="E301" s="143" t="n">
        <v>139</v>
      </c>
      <c r="F301" s="201">
        <f>SUM(D301:E302)</f>
        <v/>
      </c>
    </row>
    <row r="302" ht="15" customHeight="1" s="22">
      <c r="C302" s="246" t="n"/>
      <c r="D302" s="246" t="n"/>
      <c r="E302" s="246" t="n"/>
      <c r="F302" s="246" t="n"/>
    </row>
    <row r="303" ht="15" customHeight="1" s="22">
      <c r="C303" s="131" t="n">
        <v>20</v>
      </c>
      <c r="D303" s="142" t="n">
        <v>147</v>
      </c>
      <c r="E303" s="143" t="n">
        <v>136</v>
      </c>
      <c r="F303" s="201">
        <f>SUM(D303:E304)</f>
        <v/>
      </c>
    </row>
    <row r="304" ht="15" customHeight="1" s="22">
      <c r="C304" s="246" t="n"/>
      <c r="D304" s="246" t="n"/>
      <c r="E304" s="246" t="n"/>
      <c r="F304" s="246" t="n"/>
    </row>
    <row r="305" ht="15" customHeight="1" s="22">
      <c r="C305" s="131" t="n">
        <v>21</v>
      </c>
      <c r="D305" s="142" t="n">
        <v>143</v>
      </c>
      <c r="E305" s="143" t="n">
        <v>140</v>
      </c>
      <c r="F305" s="201">
        <f>SUM(D305:E306)</f>
        <v/>
      </c>
    </row>
    <row r="306" ht="15" customHeight="1" s="22">
      <c r="C306" s="246" t="n"/>
      <c r="D306" s="246" t="n"/>
      <c r="E306" s="246" t="n"/>
      <c r="F306" s="246" t="n"/>
    </row>
    <row r="307" ht="15" customHeight="1" s="22">
      <c r="C307" s="131" t="n">
        <v>22</v>
      </c>
      <c r="D307" s="142" t="n">
        <v>145</v>
      </c>
      <c r="E307" s="143" t="n">
        <v>137</v>
      </c>
      <c r="F307" s="201">
        <f>SUM(D307:E308)</f>
        <v/>
      </c>
    </row>
    <row r="308" ht="15" customHeight="1" s="22">
      <c r="C308" s="246" t="n"/>
      <c r="D308" s="246" t="n"/>
      <c r="E308" s="246" t="n"/>
      <c r="F308" s="246" t="n"/>
    </row>
    <row r="309" ht="15" customHeight="1" s="22">
      <c r="C309" s="131" t="n">
        <v>23</v>
      </c>
      <c r="D309" s="142" t="n">
        <v>144</v>
      </c>
      <c r="E309" s="143" t="n">
        <v>137</v>
      </c>
      <c r="F309" s="201">
        <f>SUM(D309:E310)</f>
        <v/>
      </c>
    </row>
    <row r="310" ht="15" customHeight="1" s="22">
      <c r="C310" s="246" t="n"/>
      <c r="D310" s="246" t="n"/>
      <c r="E310" s="246" t="n"/>
      <c r="F310" s="246" t="n"/>
    </row>
    <row r="311" ht="15" customHeight="1" s="22">
      <c r="C311" s="131" t="n">
        <v>24</v>
      </c>
      <c r="D311" s="142" t="n">
        <v>149</v>
      </c>
      <c r="E311" s="143" t="n">
        <v>140</v>
      </c>
      <c r="F311" s="201">
        <f>SUM(D311:E312)</f>
        <v/>
      </c>
    </row>
    <row r="312" ht="15" customHeight="1" s="22">
      <c r="C312" s="246" t="n"/>
      <c r="D312" s="246" t="n"/>
      <c r="E312" s="246" t="n"/>
      <c r="F312" s="246" t="n"/>
    </row>
    <row r="313" ht="15" customHeight="1" s="22">
      <c r="C313" s="131" t="n">
        <v>25</v>
      </c>
      <c r="D313" s="142" t="n">
        <v>146</v>
      </c>
      <c r="E313" s="143" t="n">
        <v>138</v>
      </c>
      <c r="F313" s="201">
        <f>SUM(D313:E314)</f>
        <v/>
      </c>
    </row>
    <row r="314" ht="15" customHeight="1" s="22">
      <c r="C314" s="246" t="n"/>
      <c r="D314" s="246" t="n"/>
      <c r="E314" s="246" t="n"/>
      <c r="F314" s="246" t="n"/>
    </row>
    <row r="315" ht="15" customHeight="1" s="22">
      <c r="C315" s="131" t="n">
        <v>26</v>
      </c>
      <c r="D315" s="142" t="n">
        <v>147</v>
      </c>
      <c r="E315" s="143" t="n">
        <v>136</v>
      </c>
      <c r="F315" s="201">
        <f>SUM(D315:E316)</f>
        <v/>
      </c>
    </row>
    <row r="316" ht="15" customHeight="1" s="22">
      <c r="C316" s="246" t="n"/>
      <c r="D316" s="246" t="n"/>
      <c r="E316" s="246" t="n"/>
      <c r="F316" s="246" t="n"/>
    </row>
    <row r="317" ht="15" customHeight="1" s="22">
      <c r="C317" s="131" t="n">
        <v>27</v>
      </c>
      <c r="D317" s="142" t="n">
        <v>145</v>
      </c>
      <c r="E317" s="143" t="n">
        <v>137</v>
      </c>
      <c r="F317" s="201">
        <f>SUM(D317:E318)</f>
        <v/>
      </c>
    </row>
    <row r="318" ht="15" customHeight="1" s="22">
      <c r="C318" s="246" t="n"/>
      <c r="D318" s="246" t="n"/>
      <c r="E318" s="246" t="n"/>
      <c r="F318" s="246" t="n"/>
    </row>
    <row r="319" ht="15" customHeight="1" s="22">
      <c r="C319" s="131" t="n">
        <v>28</v>
      </c>
      <c r="D319" s="142" t="n">
        <v>144</v>
      </c>
      <c r="E319" s="143" t="n">
        <v>138</v>
      </c>
      <c r="F319" s="201">
        <f>SUM(D319:E320)</f>
        <v/>
      </c>
    </row>
    <row r="320" ht="15" customHeight="1" s="22">
      <c r="C320" s="246" t="n"/>
      <c r="D320" s="246" t="n"/>
      <c r="E320" s="246" t="n"/>
      <c r="F320" s="246" t="n"/>
    </row>
    <row r="321" ht="15" customHeight="1" s="22">
      <c r="C321" s="131" t="n">
        <v>29</v>
      </c>
      <c r="D321" s="142" t="n">
        <v>145</v>
      </c>
      <c r="E321" s="143" t="n">
        <v>138</v>
      </c>
      <c r="F321" s="201">
        <f>SUM(D321:E322)</f>
        <v/>
      </c>
    </row>
    <row r="322" ht="15" customHeight="1" s="22">
      <c r="C322" s="246" t="n"/>
      <c r="D322" s="246" t="n"/>
      <c r="E322" s="246" t="n"/>
      <c r="F322" s="246" t="n"/>
    </row>
    <row r="323" ht="15" customHeight="1" s="22">
      <c r="C323" s="131" t="n">
        <v>30</v>
      </c>
      <c r="D323" s="142" t="n">
        <v>141</v>
      </c>
      <c r="E323" s="143" t="n">
        <v>133</v>
      </c>
      <c r="F323" s="201">
        <f>SUM(D323:E324)</f>
        <v/>
      </c>
    </row>
    <row r="324" ht="15" customHeight="1" s="22">
      <c r="C324" s="246" t="n"/>
      <c r="D324" s="246" t="n"/>
      <c r="E324" s="246" t="n"/>
      <c r="F324" s="246" t="n"/>
    </row>
    <row r="325" ht="15" customHeight="1" s="22">
      <c r="C325" s="131" t="n">
        <v>31</v>
      </c>
      <c r="D325" s="142" t="n">
        <v>145</v>
      </c>
      <c r="E325" s="143" t="n">
        <v>138</v>
      </c>
      <c r="F325" s="201">
        <f>SUM(D325:E326)</f>
        <v/>
      </c>
    </row>
    <row r="326" ht="15" customHeight="1" s="22">
      <c r="C326" s="246" t="n"/>
      <c r="D326" s="246" t="n"/>
      <c r="E326" s="246" t="n"/>
      <c r="F326" s="246" t="n"/>
    </row>
    <row r="327" ht="15" customHeight="1" s="22">
      <c r="D327" s="21" t="n"/>
      <c r="E327" s="21" t="n"/>
    </row>
    <row r="328" ht="15" customHeight="1" s="22">
      <c r="D328" s="21" t="n"/>
      <c r="E328" s="21" t="n"/>
    </row>
    <row r="329" ht="26.25" customHeight="1" s="22">
      <c r="C329" s="137" t="inlineStr">
        <is>
          <t>THÁNG 06/2025</t>
        </is>
      </c>
    </row>
    <row r="330" ht="18.75" customHeight="1" s="22">
      <c r="C330" s="25" t="n"/>
      <c r="D330" s="23" t="inlineStr">
        <is>
          <t>Viags</t>
        </is>
      </c>
      <c r="E330" s="24" t="inlineStr">
        <is>
          <t>Sags</t>
        </is>
      </c>
      <c r="F330" s="26" t="inlineStr">
        <is>
          <t>TỔNG</t>
        </is>
      </c>
    </row>
    <row r="331" ht="15" customHeight="1" s="22">
      <c r="C331" s="131" t="n">
        <v>1</v>
      </c>
      <c r="D331" s="142" t="n">
        <v>147</v>
      </c>
      <c r="E331" s="143" t="n">
        <v>135</v>
      </c>
      <c r="F331" s="201">
        <f>SUM(D331:E332)</f>
        <v/>
      </c>
    </row>
    <row r="332" ht="15" customHeight="1" s="22">
      <c r="C332" s="246" t="n"/>
      <c r="D332" s="246" t="n"/>
      <c r="E332" s="246" t="n"/>
      <c r="F332" s="246" t="n"/>
    </row>
    <row r="333" ht="15" customHeight="1" s="22">
      <c r="C333" s="131" t="n">
        <v>2</v>
      </c>
      <c r="D333" s="142" t="n">
        <v>140</v>
      </c>
      <c r="E333" s="143" t="n">
        <v>142</v>
      </c>
      <c r="F333" s="201">
        <f>SUM(D333:E334)</f>
        <v/>
      </c>
    </row>
    <row r="334" ht="15" customHeight="1" s="22">
      <c r="C334" s="246" t="n"/>
      <c r="D334" s="246" t="n"/>
      <c r="E334" s="246" t="n"/>
      <c r="F334" s="246" t="n"/>
    </row>
    <row r="335" ht="15" customHeight="1" s="22">
      <c r="C335" s="131" t="n">
        <v>3</v>
      </c>
      <c r="D335" s="142" t="n">
        <v>144</v>
      </c>
      <c r="E335" s="143" t="n">
        <v>140</v>
      </c>
      <c r="F335" s="201">
        <f>SUM(D335:E336)</f>
        <v/>
      </c>
    </row>
    <row r="336" ht="15" customHeight="1" s="22">
      <c r="C336" s="246" t="n"/>
      <c r="D336" s="246" t="n"/>
      <c r="E336" s="246" t="n"/>
      <c r="F336" s="246" t="n"/>
    </row>
    <row r="337" ht="15" customHeight="1" s="22">
      <c r="C337" s="131" t="n">
        <v>4</v>
      </c>
      <c r="D337" s="142" t="n">
        <v>146</v>
      </c>
      <c r="E337" s="143" t="n">
        <v>137</v>
      </c>
      <c r="F337" s="201">
        <f>SUM(D337:E338)</f>
        <v/>
      </c>
    </row>
    <row r="338" ht="15" customHeight="1" s="22">
      <c r="C338" s="246" t="n"/>
      <c r="D338" s="246" t="n"/>
      <c r="E338" s="246" t="n"/>
      <c r="F338" s="246" t="n"/>
    </row>
    <row r="339" ht="15" customHeight="1" s="22">
      <c r="C339" s="131" t="n">
        <v>5</v>
      </c>
      <c r="D339" s="142" t="n">
        <v>141</v>
      </c>
      <c r="E339" s="143" t="n">
        <v>142</v>
      </c>
      <c r="F339" s="201">
        <f>SUM(D339:E340)</f>
        <v/>
      </c>
    </row>
    <row r="340" ht="15" customHeight="1" s="22">
      <c r="C340" s="246" t="n"/>
      <c r="D340" s="246" t="n"/>
      <c r="E340" s="246" t="n"/>
      <c r="F340" s="246" t="n"/>
    </row>
    <row r="341" ht="15" customHeight="1" s="22">
      <c r="C341" s="131" t="n">
        <v>6</v>
      </c>
      <c r="D341" s="142" t="n">
        <v>140</v>
      </c>
      <c r="E341" s="143" t="n">
        <v>138</v>
      </c>
      <c r="F341" s="201">
        <f>SUM(D341:E342)</f>
        <v/>
      </c>
    </row>
    <row r="342" ht="15" customHeight="1" s="22">
      <c r="C342" s="246" t="n"/>
      <c r="D342" s="246" t="n"/>
      <c r="E342" s="246" t="n"/>
      <c r="F342" s="246" t="n"/>
    </row>
    <row r="343" ht="15" customHeight="1" s="22">
      <c r="C343" s="131" t="n">
        <v>7</v>
      </c>
      <c r="D343" s="142" t="n">
        <v>146</v>
      </c>
      <c r="E343" s="143" t="n">
        <v>138</v>
      </c>
      <c r="F343" s="201">
        <f>SUM(D343:E344)</f>
        <v/>
      </c>
    </row>
    <row r="344" ht="15" customHeight="1" s="22">
      <c r="C344" s="246" t="n"/>
      <c r="D344" s="246" t="n"/>
      <c r="E344" s="246" t="n"/>
      <c r="F344" s="246" t="n"/>
    </row>
    <row r="345" ht="15" customHeight="1" s="22">
      <c r="C345" s="131" t="n">
        <v>8</v>
      </c>
      <c r="D345" s="142" t="n">
        <v>145</v>
      </c>
      <c r="E345" s="143" t="n">
        <v>138</v>
      </c>
      <c r="F345" s="201">
        <f>SUM(D345:E346)</f>
        <v/>
      </c>
    </row>
    <row r="346" ht="15" customHeight="1" s="22">
      <c r="C346" s="246" t="n"/>
      <c r="D346" s="246" t="n"/>
      <c r="E346" s="246" t="n"/>
      <c r="F346" s="246" t="n"/>
    </row>
    <row r="347" ht="15" customHeight="1" s="22">
      <c r="C347" s="131" t="n">
        <v>9</v>
      </c>
      <c r="D347" s="142" t="n">
        <v>138</v>
      </c>
      <c r="E347" s="143" t="n">
        <v>144</v>
      </c>
      <c r="F347" s="201">
        <f>SUM(D347:E348)</f>
        <v/>
      </c>
    </row>
    <row r="348" ht="15" customHeight="1" s="22">
      <c r="C348" s="246" t="n"/>
      <c r="D348" s="246" t="n"/>
      <c r="E348" s="246" t="n"/>
      <c r="F348" s="246" t="n"/>
    </row>
    <row r="349" ht="15" customHeight="1" s="22">
      <c r="C349" s="131" t="n">
        <v>10</v>
      </c>
      <c r="D349" s="142" t="n">
        <v>144</v>
      </c>
      <c r="E349" s="143" t="n">
        <v>136</v>
      </c>
      <c r="F349" s="201">
        <f>SUM(D349:E350)</f>
        <v/>
      </c>
    </row>
    <row r="350" ht="15" customHeight="1" s="22">
      <c r="C350" s="246" t="n"/>
      <c r="D350" s="246" t="n"/>
      <c r="E350" s="246" t="n"/>
      <c r="F350" s="246" t="n"/>
    </row>
    <row r="351" ht="15" customHeight="1" s="22">
      <c r="C351" s="131" t="n">
        <v>11</v>
      </c>
      <c r="D351" s="142" t="n">
        <v>144</v>
      </c>
      <c r="E351" s="143" t="n">
        <v>137</v>
      </c>
      <c r="F351" s="201">
        <f>SUM(D351:E352)</f>
        <v/>
      </c>
    </row>
    <row r="352" ht="15" customHeight="1" s="22">
      <c r="C352" s="246" t="n"/>
      <c r="D352" s="246" t="n"/>
      <c r="E352" s="246" t="n"/>
      <c r="F352" s="246" t="n"/>
    </row>
    <row r="353" ht="15" customHeight="1" s="22">
      <c r="C353" s="131" t="n">
        <v>12</v>
      </c>
      <c r="D353" s="142" t="n">
        <v>142</v>
      </c>
      <c r="E353" s="143" t="n">
        <v>136</v>
      </c>
      <c r="F353" s="201">
        <f>SUM(D353:E354)</f>
        <v/>
      </c>
    </row>
    <row r="354" ht="15" customHeight="1" s="22">
      <c r="C354" s="246" t="n"/>
      <c r="D354" s="246" t="n"/>
      <c r="E354" s="246" t="n"/>
      <c r="F354" s="246" t="n"/>
    </row>
    <row r="355" ht="15" customHeight="1" s="22">
      <c r="C355" s="131" t="n">
        <v>13</v>
      </c>
      <c r="D355" s="142" t="n">
        <v>145</v>
      </c>
      <c r="E355" s="143" t="n">
        <v>136</v>
      </c>
      <c r="F355" s="201">
        <f>SUM(D355:E356)</f>
        <v/>
      </c>
    </row>
    <row r="356" ht="15" customHeight="1" s="22">
      <c r="C356" s="246" t="n"/>
      <c r="D356" s="246" t="n"/>
      <c r="E356" s="246" t="n"/>
      <c r="F356" s="246" t="n"/>
    </row>
    <row r="357" ht="15" customHeight="1" s="22">
      <c r="C357" s="131" t="n">
        <v>14</v>
      </c>
      <c r="D357" s="142" t="n">
        <v>146</v>
      </c>
      <c r="E357" s="143" t="n">
        <v>139</v>
      </c>
      <c r="F357" s="201">
        <f>SUM(D357:E358)</f>
        <v/>
      </c>
    </row>
    <row r="358" ht="15" customHeight="1" s="22">
      <c r="C358" s="246" t="n"/>
      <c r="D358" s="246" t="n"/>
      <c r="E358" s="246" t="n"/>
      <c r="F358" s="246" t="n"/>
    </row>
    <row r="359" ht="15" customHeight="1" s="22">
      <c r="C359" s="131" t="n">
        <v>15</v>
      </c>
      <c r="D359" s="142" t="n">
        <v>146</v>
      </c>
      <c r="E359" s="143" t="n">
        <v>140</v>
      </c>
      <c r="F359" s="201">
        <f>SUM(D359:E360)</f>
        <v/>
      </c>
    </row>
    <row r="360" ht="15" customHeight="1" s="22">
      <c r="C360" s="246" t="n"/>
      <c r="D360" s="246" t="n"/>
      <c r="E360" s="246" t="n"/>
      <c r="F360" s="246" t="n"/>
    </row>
    <row r="361" ht="15" customHeight="1" s="22">
      <c r="C361" s="131" t="n">
        <v>16</v>
      </c>
      <c r="D361" s="142" t="n">
        <v>145</v>
      </c>
      <c r="E361" s="143" t="n">
        <v>138</v>
      </c>
      <c r="F361" s="201">
        <f>SUM(D361:E362)</f>
        <v/>
      </c>
    </row>
    <row r="362" ht="15" customHeight="1" s="22">
      <c r="C362" s="246" t="n"/>
      <c r="D362" s="246" t="n"/>
      <c r="E362" s="246" t="n"/>
      <c r="F362" s="246" t="n"/>
    </row>
    <row r="363" ht="15" customHeight="1" s="22">
      <c r="C363" s="131" t="n">
        <v>17</v>
      </c>
      <c r="D363" s="142" t="n">
        <v>142</v>
      </c>
      <c r="E363" s="143" t="n">
        <v>139</v>
      </c>
      <c r="F363" s="201">
        <f>SUM(D363:E364)</f>
        <v/>
      </c>
    </row>
    <row r="364" ht="15" customHeight="1" s="22">
      <c r="C364" s="246" t="n"/>
      <c r="D364" s="246" t="n"/>
      <c r="E364" s="246" t="n"/>
      <c r="F364" s="246" t="n"/>
    </row>
    <row r="365" ht="15" customHeight="1" s="22">
      <c r="C365" s="131" t="n">
        <v>18</v>
      </c>
      <c r="D365" s="142" t="n">
        <v>147</v>
      </c>
      <c r="E365" s="143" t="n">
        <v>143</v>
      </c>
      <c r="F365" s="201">
        <f>SUM(D365:E366)</f>
        <v/>
      </c>
    </row>
    <row r="366" ht="15" customHeight="1" s="22">
      <c r="C366" s="246" t="n"/>
      <c r="D366" s="246" t="n"/>
      <c r="E366" s="246" t="n"/>
      <c r="F366" s="246" t="n"/>
    </row>
    <row r="367" ht="15" customHeight="1" s="22">
      <c r="C367" s="131" t="n">
        <v>19</v>
      </c>
      <c r="D367" s="142" t="n">
        <v>146</v>
      </c>
      <c r="E367" s="143" t="n">
        <v>138</v>
      </c>
      <c r="F367" s="201">
        <f>SUM(D367:E368)</f>
        <v/>
      </c>
    </row>
    <row r="368" ht="15" customHeight="1" s="22">
      <c r="C368" s="246" t="n"/>
      <c r="D368" s="246" t="n"/>
      <c r="E368" s="246" t="n"/>
      <c r="F368" s="246" t="n"/>
    </row>
    <row r="369" ht="15" customHeight="1" s="22">
      <c r="C369" s="131" t="n">
        <v>20</v>
      </c>
      <c r="D369" s="142" t="n">
        <v>142</v>
      </c>
      <c r="E369" s="143" t="n">
        <v>139</v>
      </c>
      <c r="F369" s="201">
        <f>SUM(D369:E370)</f>
        <v/>
      </c>
    </row>
    <row r="370" ht="15" customHeight="1" s="22">
      <c r="C370" s="246" t="n"/>
      <c r="D370" s="246" t="n"/>
      <c r="E370" s="246" t="n"/>
      <c r="F370" s="246" t="n"/>
    </row>
    <row r="371" ht="15" customHeight="1" s="22">
      <c r="C371" s="131" t="n">
        <v>21</v>
      </c>
      <c r="D371" s="142" t="n">
        <v>143</v>
      </c>
      <c r="E371" s="143" t="n">
        <v>140</v>
      </c>
      <c r="F371" s="201">
        <f>SUM(D371:E372)</f>
        <v/>
      </c>
    </row>
    <row r="372" ht="15" customHeight="1" s="22">
      <c r="C372" s="246" t="n"/>
      <c r="D372" s="246" t="n"/>
      <c r="E372" s="246" t="n"/>
      <c r="F372" s="246" t="n"/>
    </row>
    <row r="373" ht="15" customHeight="1" s="22">
      <c r="C373" s="131" t="n">
        <v>22</v>
      </c>
      <c r="D373" s="142" t="n">
        <v>145</v>
      </c>
      <c r="E373" s="143" t="n">
        <v>137</v>
      </c>
      <c r="F373" s="201">
        <f>SUM(D373:E374)</f>
        <v/>
      </c>
    </row>
    <row r="374" ht="15" customHeight="1" s="22">
      <c r="C374" s="246" t="n"/>
      <c r="D374" s="246" t="n"/>
      <c r="E374" s="246" t="n"/>
      <c r="F374" s="246" t="n"/>
    </row>
    <row r="375" ht="15" customHeight="1" s="22">
      <c r="C375" s="131" t="n">
        <v>23</v>
      </c>
      <c r="D375" s="142" t="n">
        <v>144</v>
      </c>
      <c r="E375" s="143" t="n">
        <v>137</v>
      </c>
      <c r="F375" s="201">
        <f>SUM(D375:E376)</f>
        <v/>
      </c>
    </row>
    <row r="376" ht="15" customHeight="1" s="22">
      <c r="C376" s="246" t="n"/>
      <c r="D376" s="246" t="n"/>
      <c r="E376" s="246" t="n"/>
      <c r="F376" s="246" t="n"/>
    </row>
    <row r="377" ht="15" customHeight="1" s="22">
      <c r="C377" s="131" t="n">
        <v>24</v>
      </c>
      <c r="D377" s="142" t="n">
        <v>147</v>
      </c>
      <c r="E377" s="143" t="n">
        <v>138</v>
      </c>
      <c r="F377" s="201">
        <f>SUM(D377:E378)</f>
        <v/>
      </c>
    </row>
    <row r="378" ht="15" customHeight="1" s="22">
      <c r="C378" s="246" t="n"/>
      <c r="D378" s="246" t="n"/>
      <c r="E378" s="246" t="n"/>
      <c r="F378" s="246" t="n"/>
    </row>
    <row r="379" ht="15" customHeight="1" s="22">
      <c r="C379" s="131" t="n">
        <v>25</v>
      </c>
      <c r="D379" s="142" t="n">
        <v>144</v>
      </c>
      <c r="E379" s="143" t="n">
        <v>139</v>
      </c>
      <c r="F379" s="201">
        <f>SUM(D379:E380)</f>
        <v/>
      </c>
    </row>
    <row r="380" ht="15" customHeight="1" s="22">
      <c r="C380" s="246" t="n"/>
      <c r="D380" s="246" t="n"/>
      <c r="E380" s="246" t="n"/>
      <c r="F380" s="246" t="n"/>
    </row>
    <row r="381" ht="15" customHeight="1" s="22">
      <c r="C381" s="131" t="n">
        <v>26</v>
      </c>
      <c r="D381" s="142" t="n">
        <v>146</v>
      </c>
      <c r="E381" s="143" t="n">
        <v>140</v>
      </c>
      <c r="F381" s="201">
        <f>SUM(D381:E382)</f>
        <v/>
      </c>
    </row>
    <row r="382" ht="15" customHeight="1" s="22">
      <c r="C382" s="246" t="n"/>
      <c r="D382" s="246" t="n"/>
      <c r="E382" s="246" t="n"/>
      <c r="F382" s="246" t="n"/>
    </row>
    <row r="383" ht="15" customHeight="1" s="22">
      <c r="C383" s="131" t="n">
        <v>27</v>
      </c>
      <c r="D383" s="142" t="n">
        <v>150</v>
      </c>
      <c r="E383" s="143" t="n">
        <v>140</v>
      </c>
      <c r="F383" s="201">
        <f>SUM(D383:E384)</f>
        <v/>
      </c>
    </row>
    <row r="384" ht="15" customHeight="1" s="22">
      <c r="C384" s="246" t="n"/>
      <c r="D384" s="246" t="n"/>
      <c r="E384" s="246" t="n"/>
      <c r="F384" s="246" t="n"/>
    </row>
    <row r="385" ht="15" customHeight="1" s="22">
      <c r="C385" s="131" t="n">
        <v>28</v>
      </c>
      <c r="D385" s="142" t="n">
        <v>146</v>
      </c>
      <c r="E385" s="143" t="n">
        <v>137</v>
      </c>
      <c r="F385" s="201">
        <f>SUM(D385:E386)</f>
        <v/>
      </c>
    </row>
    <row r="386" ht="15" customHeight="1" s="22">
      <c r="C386" s="246" t="n"/>
      <c r="D386" s="246" t="n"/>
      <c r="E386" s="246" t="n"/>
      <c r="F386" s="246" t="n"/>
    </row>
    <row r="387" ht="15" customHeight="1" s="22">
      <c r="C387" s="131" t="n">
        <v>29</v>
      </c>
      <c r="D387" s="142" t="n"/>
      <c r="E387" s="143" t="n"/>
      <c r="F387" s="201">
        <f>SUM(D387:E388)</f>
        <v/>
      </c>
    </row>
    <row r="388" ht="15" customHeight="1" s="22">
      <c r="C388" s="246" t="n"/>
      <c r="D388" s="246" t="n"/>
      <c r="E388" s="246" t="n"/>
      <c r="F388" s="246" t="n"/>
    </row>
    <row r="389" ht="15" customHeight="1" s="22">
      <c r="C389" s="131" t="n">
        <v>30</v>
      </c>
      <c r="D389" s="142" t="n"/>
      <c r="E389" s="143" t="n"/>
      <c r="F389" s="201">
        <f>SUM(D389:E390)</f>
        <v/>
      </c>
    </row>
    <row r="390" ht="15" customHeight="1" s="22">
      <c r="C390" s="246" t="n"/>
      <c r="D390" s="246" t="n"/>
      <c r="E390" s="246" t="n"/>
      <c r="F390" s="246" t="n"/>
    </row>
    <row r="391" ht="15" customHeight="1" s="22">
      <c r="C391" s="131" t="n"/>
      <c r="D391" s="142" t="n"/>
      <c r="E391" s="143" t="n"/>
      <c r="F391" s="201" t="n"/>
    </row>
    <row r="392" ht="15" customHeight="1" s="22">
      <c r="C392" s="246" t="n"/>
      <c r="D392" s="246" t="n"/>
      <c r="E392" s="246" t="n"/>
      <c r="F392" s="246" t="n"/>
    </row>
  </sheetData>
  <mergeCells count="726">
    <mergeCell ref="E297:E298"/>
    <mergeCell ref="E235:E236"/>
    <mergeCell ref="D369:D370"/>
    <mergeCell ref="F369:F370"/>
    <mergeCell ref="E88:E89"/>
    <mergeCell ref="D21:D22"/>
    <mergeCell ref="E299:E300"/>
    <mergeCell ref="C335:C336"/>
    <mergeCell ref="D229:D230"/>
    <mergeCell ref="C114:C115"/>
    <mergeCell ref="E363:E364"/>
    <mergeCell ref="C132:C133"/>
    <mergeCell ref="D283:D284"/>
    <mergeCell ref="C213:C214"/>
    <mergeCell ref="E365:E366"/>
    <mergeCell ref="F13:F14"/>
    <mergeCell ref="F122:F123"/>
    <mergeCell ref="C188:C189"/>
    <mergeCell ref="F249:F250"/>
    <mergeCell ref="D347:D348"/>
    <mergeCell ref="D285:D286"/>
    <mergeCell ref="F347:F348"/>
    <mergeCell ref="C27:C28"/>
    <mergeCell ref="D235:D236"/>
    <mergeCell ref="F186:F187"/>
    <mergeCell ref="E154:E155"/>
    <mergeCell ref="F120:F121"/>
    <mergeCell ref="C361:C362"/>
    <mergeCell ref="F313:F314"/>
    <mergeCell ref="C190:C191"/>
    <mergeCell ref="F349:F350"/>
    <mergeCell ref="E377:E378"/>
    <mergeCell ref="F57:F58"/>
    <mergeCell ref="E25:E26"/>
    <mergeCell ref="F293:F294"/>
    <mergeCell ref="E391:E392"/>
    <mergeCell ref="E247:E248"/>
    <mergeCell ref="D311:D312"/>
    <mergeCell ref="D140:D141"/>
    <mergeCell ref="F267:F268"/>
    <mergeCell ref="E13:E14"/>
    <mergeCell ref="E122:E123"/>
    <mergeCell ref="E249:E250"/>
    <mergeCell ref="D217:D218"/>
    <mergeCell ref="F146:F147"/>
    <mergeCell ref="F217:F218"/>
    <mergeCell ref="D17:D18"/>
    <mergeCell ref="F277:F278"/>
    <mergeCell ref="D375:D376"/>
    <mergeCell ref="C343:C344"/>
    <mergeCell ref="C281:C282"/>
    <mergeCell ref="F375:F376"/>
    <mergeCell ref="C45:C46"/>
    <mergeCell ref="D11:D12"/>
    <mergeCell ref="D154:D155"/>
    <mergeCell ref="C47:C48"/>
    <mergeCell ref="D377:D378"/>
    <mergeCell ref="C345:C346"/>
    <mergeCell ref="C201:C202"/>
    <mergeCell ref="E201:E202"/>
    <mergeCell ref="F110:F111"/>
    <mergeCell ref="C138:C139"/>
    <mergeCell ref="F199:F200"/>
    <mergeCell ref="C76:C77"/>
    <mergeCell ref="C203:C204"/>
    <mergeCell ref="E27:E28"/>
    <mergeCell ref="E325:E326"/>
    <mergeCell ref="C51:C52"/>
    <mergeCell ref="E104:E105"/>
    <mergeCell ref="C140:C141"/>
    <mergeCell ref="D37:D38"/>
    <mergeCell ref="C267:C268"/>
    <mergeCell ref="D168:D169"/>
    <mergeCell ref="E389:E390"/>
    <mergeCell ref="E267:E268"/>
    <mergeCell ref="E106:E107"/>
    <mergeCell ref="F257:F258"/>
    <mergeCell ref="D88:D89"/>
    <mergeCell ref="F88:F89"/>
    <mergeCell ref="F359:F360"/>
    <mergeCell ref="D299:D300"/>
    <mergeCell ref="F299:F300"/>
    <mergeCell ref="C229:C230"/>
    <mergeCell ref="D90:D91"/>
    <mergeCell ref="F265:F266"/>
    <mergeCell ref="D136:D137"/>
    <mergeCell ref="E343:E344"/>
    <mergeCell ref="F363:F364"/>
    <mergeCell ref="F154:F155"/>
    <mergeCell ref="D80:D81"/>
    <mergeCell ref="C277:C278"/>
    <mergeCell ref="C84:C85"/>
    <mergeCell ref="C59:C60"/>
    <mergeCell ref="F365:F366"/>
    <mergeCell ref="E84:E85"/>
    <mergeCell ref="E59:E60"/>
    <mergeCell ref="C295:C296"/>
    <mergeCell ref="E295:E296"/>
    <mergeCell ref="C257:C258"/>
    <mergeCell ref="E186:E187"/>
    <mergeCell ref="E15:E16"/>
    <mergeCell ref="E257:E258"/>
    <mergeCell ref="D225:D226"/>
    <mergeCell ref="E86:E87"/>
    <mergeCell ref="D162:D163"/>
    <mergeCell ref="D156:D157"/>
    <mergeCell ref="D227:D228"/>
    <mergeCell ref="E315:E316"/>
    <mergeCell ref="F156:F157"/>
    <mergeCell ref="D319:D320"/>
    <mergeCell ref="C209:C210"/>
    <mergeCell ref="D343:D344"/>
    <mergeCell ref="D164:D165"/>
    <mergeCell ref="F49:F50"/>
    <mergeCell ref="D207:D208"/>
    <mergeCell ref="D383:D384"/>
    <mergeCell ref="F207:F208"/>
    <mergeCell ref="C283:C284"/>
    <mergeCell ref="C217:C218"/>
    <mergeCell ref="E112:E113"/>
    <mergeCell ref="E217:E218"/>
    <mergeCell ref="F78:F79"/>
    <mergeCell ref="F271:F272"/>
    <mergeCell ref="C375:C376"/>
    <mergeCell ref="D385:D386"/>
    <mergeCell ref="C275:C276"/>
    <mergeCell ref="E269:E270"/>
    <mergeCell ref="C154:C155"/>
    <mergeCell ref="F15:F16"/>
    <mergeCell ref="C285:C286"/>
    <mergeCell ref="E347:E348"/>
    <mergeCell ref="F142:F143"/>
    <mergeCell ref="E285:E286"/>
    <mergeCell ref="E341:E342"/>
    <mergeCell ref="E43:E44"/>
    <mergeCell ref="F80:F81"/>
    <mergeCell ref="C377:C378"/>
    <mergeCell ref="D345:D346"/>
    <mergeCell ref="D96:D97"/>
    <mergeCell ref="C156:C157"/>
    <mergeCell ref="C349:C350"/>
    <mergeCell ref="E156:E157"/>
    <mergeCell ref="C207:C208"/>
    <mergeCell ref="D104:D105"/>
    <mergeCell ref="F104:F105"/>
    <mergeCell ref="C301:C302"/>
    <mergeCell ref="C130:C131"/>
    <mergeCell ref="F389:F390"/>
    <mergeCell ref="D106:D107"/>
    <mergeCell ref="D373:D374"/>
    <mergeCell ref="F106:F107"/>
    <mergeCell ref="F373:F374"/>
    <mergeCell ref="D33:D34"/>
    <mergeCell ref="C61:C62"/>
    <mergeCell ref="C303:C304"/>
    <mergeCell ref="D391:D392"/>
    <mergeCell ref="C359:C360"/>
    <mergeCell ref="D152:D153"/>
    <mergeCell ref="E359:E360"/>
    <mergeCell ref="E61:E62"/>
    <mergeCell ref="C72:C73"/>
    <mergeCell ref="F170:F171"/>
    <mergeCell ref="C96:C97"/>
    <mergeCell ref="E321:E322"/>
    <mergeCell ref="D251:D252"/>
    <mergeCell ref="E100:E101"/>
    <mergeCell ref="C136:C137"/>
    <mergeCell ref="E136:E137"/>
    <mergeCell ref="C323:C324"/>
    <mergeCell ref="E323:E324"/>
    <mergeCell ref="E102:E103"/>
    <mergeCell ref="D35:D36"/>
    <mergeCell ref="D84:D85"/>
    <mergeCell ref="D59:D60"/>
    <mergeCell ref="E387:E388"/>
    <mergeCell ref="F84:F85"/>
    <mergeCell ref="D295:D296"/>
    <mergeCell ref="E39:E40"/>
    <mergeCell ref="E337:E338"/>
    <mergeCell ref="F221:F222"/>
    <mergeCell ref="D257:D258"/>
    <mergeCell ref="C225:C226"/>
    <mergeCell ref="D61:D62"/>
    <mergeCell ref="D86:D87"/>
    <mergeCell ref="D359:D360"/>
    <mergeCell ref="F86:F87"/>
    <mergeCell ref="F223:F224"/>
    <mergeCell ref="D321:D322"/>
    <mergeCell ref="D150:D151"/>
    <mergeCell ref="C227:C228"/>
    <mergeCell ref="F321:F322"/>
    <mergeCell ref="F150:F151"/>
    <mergeCell ref="E349:E350"/>
    <mergeCell ref="F315:F316"/>
    <mergeCell ref="F144:F145"/>
    <mergeCell ref="C347:C348"/>
    <mergeCell ref="F94:F95"/>
    <mergeCell ref="F287:F288"/>
    <mergeCell ref="C164:C165"/>
    <mergeCell ref="D323:D324"/>
    <mergeCell ref="C291:C292"/>
    <mergeCell ref="E49:E50"/>
    <mergeCell ref="F323:F324"/>
    <mergeCell ref="E291:E292"/>
    <mergeCell ref="E207:E208"/>
    <mergeCell ref="F31:F32"/>
    <mergeCell ref="C57:C58"/>
    <mergeCell ref="C293:C294"/>
    <mergeCell ref="D112:D113"/>
    <mergeCell ref="F381:F382"/>
    <mergeCell ref="E271:E272"/>
    <mergeCell ref="C385:C386"/>
    <mergeCell ref="C86:C87"/>
    <mergeCell ref="D176:D177"/>
    <mergeCell ref="D114:D115"/>
    <mergeCell ref="F176:F177"/>
    <mergeCell ref="E273:E274"/>
    <mergeCell ref="D241:D242"/>
    <mergeCell ref="F241:F242"/>
    <mergeCell ref="C367:C368"/>
    <mergeCell ref="D178:D179"/>
    <mergeCell ref="D305:D306"/>
    <mergeCell ref="F178:F179"/>
    <mergeCell ref="D243:D244"/>
    <mergeCell ref="F305:F306"/>
    <mergeCell ref="D172:D173"/>
    <mergeCell ref="F172:F173"/>
    <mergeCell ref="F7:F8"/>
    <mergeCell ref="C98:C99"/>
    <mergeCell ref="C369:C370"/>
    <mergeCell ref="D49:D50"/>
    <mergeCell ref="C162:C163"/>
    <mergeCell ref="F309:F310"/>
    <mergeCell ref="F5:F6"/>
    <mergeCell ref="C112:C113"/>
    <mergeCell ref="C373:C374"/>
    <mergeCell ref="E373:E374"/>
    <mergeCell ref="D267:D268"/>
    <mergeCell ref="C152:C153"/>
    <mergeCell ref="F311:F312"/>
    <mergeCell ref="E339:E340"/>
    <mergeCell ref="E170:E171"/>
    <mergeCell ref="F33:F34"/>
    <mergeCell ref="D269:D270"/>
    <mergeCell ref="D367:D368"/>
    <mergeCell ref="F100:F101"/>
    <mergeCell ref="E172:E173"/>
    <mergeCell ref="F231:F232"/>
    <mergeCell ref="C297:C298"/>
    <mergeCell ref="F333:F334"/>
    <mergeCell ref="C17:C18"/>
    <mergeCell ref="F152:F153"/>
    <mergeCell ref="C253:C254"/>
    <mergeCell ref="C82:C83"/>
    <mergeCell ref="D102:D103"/>
    <mergeCell ref="F102:F103"/>
    <mergeCell ref="C299:C300"/>
    <mergeCell ref="E57:E58"/>
    <mergeCell ref="F387:F388"/>
    <mergeCell ref="E355:E356"/>
    <mergeCell ref="C19:C20"/>
    <mergeCell ref="D39:D40"/>
    <mergeCell ref="C317:C318"/>
    <mergeCell ref="E317:E318"/>
    <mergeCell ref="E146:E147"/>
    <mergeCell ref="F166:F167"/>
    <mergeCell ref="C363:C364"/>
    <mergeCell ref="C357:C358"/>
    <mergeCell ref="E357:E358"/>
    <mergeCell ref="D247:D248"/>
    <mergeCell ref="C319:C320"/>
    <mergeCell ref="F339:F340"/>
    <mergeCell ref="F168:F169"/>
    <mergeCell ref="E223:E224"/>
    <mergeCell ref="C221:C222"/>
    <mergeCell ref="E150:E151"/>
    <mergeCell ref="D249:D250"/>
    <mergeCell ref="C231:C232"/>
    <mergeCell ref="D341:D342"/>
    <mergeCell ref="E231:E232"/>
    <mergeCell ref="D186:D187"/>
    <mergeCell ref="D291:D292"/>
    <mergeCell ref="E152:E153"/>
    <mergeCell ref="F307:F308"/>
    <mergeCell ref="F21:F22"/>
    <mergeCell ref="E118:E119"/>
    <mergeCell ref="D57:D58"/>
    <mergeCell ref="D355:D356"/>
    <mergeCell ref="D293:D294"/>
    <mergeCell ref="F355:F356"/>
    <mergeCell ref="F184:F185"/>
    <mergeCell ref="F23:F24"/>
    <mergeCell ref="C176:C177"/>
    <mergeCell ref="D357:D358"/>
    <mergeCell ref="C247:C248"/>
    <mergeCell ref="E176:E177"/>
    <mergeCell ref="C70:C71"/>
    <mergeCell ref="D273:D274"/>
    <mergeCell ref="C241:C242"/>
    <mergeCell ref="E114:E115"/>
    <mergeCell ref="F273:F274"/>
    <mergeCell ref="E241:E242"/>
    <mergeCell ref="E70:E71"/>
    <mergeCell ref="C122:C123"/>
    <mergeCell ref="F245:F246"/>
    <mergeCell ref="C178:C179"/>
    <mergeCell ref="C7:C8"/>
    <mergeCell ref="C249:C250"/>
    <mergeCell ref="F239:F240"/>
    <mergeCell ref="E178:E179"/>
    <mergeCell ref="C243:C244"/>
    <mergeCell ref="F337:F338"/>
    <mergeCell ref="E305:E306"/>
    <mergeCell ref="E243:E244"/>
    <mergeCell ref="E134:E135"/>
    <mergeCell ref="F39:F40"/>
    <mergeCell ref="E7:E8"/>
    <mergeCell ref="E144:E145"/>
    <mergeCell ref="C307:C308"/>
    <mergeCell ref="E307:E308"/>
    <mergeCell ref="D110:D111"/>
    <mergeCell ref="D199:D200"/>
    <mergeCell ref="E219:E220"/>
    <mergeCell ref="F255:F256"/>
    <mergeCell ref="C325:C326"/>
    <mergeCell ref="D174:D175"/>
    <mergeCell ref="F174:F175"/>
    <mergeCell ref="F205:F206"/>
    <mergeCell ref="C33:C34"/>
    <mergeCell ref="C104:C105"/>
    <mergeCell ref="E33:E34"/>
    <mergeCell ref="D70:D71"/>
    <mergeCell ref="C269:C270"/>
    <mergeCell ref="F70:F71"/>
    <mergeCell ref="C389:C390"/>
    <mergeCell ref="C383:C384"/>
    <mergeCell ref="E383:E384"/>
    <mergeCell ref="C35:C36"/>
    <mergeCell ref="C333:C334"/>
    <mergeCell ref="E35:E36"/>
    <mergeCell ref="E333:E334"/>
    <mergeCell ref="E385:E386"/>
    <mergeCell ref="C110:C111"/>
    <mergeCell ref="D317:D318"/>
    <mergeCell ref="C237:C238"/>
    <mergeCell ref="E166:E167"/>
    <mergeCell ref="D146:D147"/>
    <mergeCell ref="E237:E238"/>
    <mergeCell ref="F27:F28"/>
    <mergeCell ref="E110:E111"/>
    <mergeCell ref="D363:D364"/>
    <mergeCell ref="E255:E256"/>
    <mergeCell ref="F357:F358"/>
    <mergeCell ref="E168:E169"/>
    <mergeCell ref="E361:E362"/>
    <mergeCell ref="C13:C14"/>
    <mergeCell ref="D365:D366"/>
    <mergeCell ref="D231:D232"/>
    <mergeCell ref="F116:F117"/>
    <mergeCell ref="C186:C187"/>
    <mergeCell ref="C15:C16"/>
    <mergeCell ref="C313:C314"/>
    <mergeCell ref="E313:E314"/>
    <mergeCell ref="C92:C93"/>
    <mergeCell ref="F53:F54"/>
    <mergeCell ref="E92:E93"/>
    <mergeCell ref="F289:F290"/>
    <mergeCell ref="C184:C185"/>
    <mergeCell ref="F118:F119"/>
    <mergeCell ref="C315:C316"/>
    <mergeCell ref="C146:C147"/>
    <mergeCell ref="E371:E372"/>
    <mergeCell ref="C29:C30"/>
    <mergeCell ref="C94:C95"/>
    <mergeCell ref="F55:F56"/>
    <mergeCell ref="D297:D298"/>
    <mergeCell ref="E23:E24"/>
    <mergeCell ref="C379:C380"/>
    <mergeCell ref="E379:E380"/>
    <mergeCell ref="E245:E246"/>
    <mergeCell ref="D213:D214"/>
    <mergeCell ref="D13:D14"/>
    <mergeCell ref="C41:C42"/>
    <mergeCell ref="D7:D8"/>
    <mergeCell ref="E74:E75"/>
    <mergeCell ref="D78:D79"/>
    <mergeCell ref="D134:D135"/>
    <mergeCell ref="F134:F135"/>
    <mergeCell ref="D215:D216"/>
    <mergeCell ref="D15:D16"/>
    <mergeCell ref="E76:E77"/>
    <mergeCell ref="F215:F216"/>
    <mergeCell ref="C43:C44"/>
    <mergeCell ref="C341:C342"/>
    <mergeCell ref="D307:D308"/>
    <mergeCell ref="D279:D280"/>
    <mergeCell ref="F37:F38"/>
    <mergeCell ref="E78:E79"/>
    <mergeCell ref="F371:F372"/>
    <mergeCell ref="C199:C200"/>
    <mergeCell ref="E199:E200"/>
    <mergeCell ref="C174:C175"/>
    <mergeCell ref="E174:E175"/>
    <mergeCell ref="E21:E22"/>
    <mergeCell ref="F112:F113"/>
    <mergeCell ref="D389:D390"/>
    <mergeCell ref="F68:F69"/>
    <mergeCell ref="F335:F336"/>
    <mergeCell ref="C265:C266"/>
    <mergeCell ref="D333:D334"/>
    <mergeCell ref="E265:E266"/>
    <mergeCell ref="C321:C322"/>
    <mergeCell ref="F213:F214"/>
    <mergeCell ref="C100:C101"/>
    <mergeCell ref="C3:F3"/>
    <mergeCell ref="F188:F189"/>
    <mergeCell ref="C263:F263"/>
    <mergeCell ref="F203:F204"/>
    <mergeCell ref="D301:D302"/>
    <mergeCell ref="C31:C32"/>
    <mergeCell ref="E31:E32"/>
    <mergeCell ref="F361:F362"/>
    <mergeCell ref="F190:F191"/>
    <mergeCell ref="C365:C366"/>
    <mergeCell ref="F317:F318"/>
    <mergeCell ref="C120:C121"/>
    <mergeCell ref="E120:E121"/>
    <mergeCell ref="E381:E382"/>
    <mergeCell ref="F61:F62"/>
    <mergeCell ref="C331:C332"/>
    <mergeCell ref="E331:E332"/>
    <mergeCell ref="D221:D222"/>
    <mergeCell ref="D25:D26"/>
    <mergeCell ref="D313:D314"/>
    <mergeCell ref="D142:D143"/>
    <mergeCell ref="E251:E252"/>
    <mergeCell ref="D223:D224"/>
    <mergeCell ref="F279:F280"/>
    <mergeCell ref="D315:D316"/>
    <mergeCell ref="D144:D145"/>
    <mergeCell ref="E188:E189"/>
    <mergeCell ref="D23:D24"/>
    <mergeCell ref="D94:D95"/>
    <mergeCell ref="E253:E254"/>
    <mergeCell ref="F343:F344"/>
    <mergeCell ref="C49:C50"/>
    <mergeCell ref="F281:F282"/>
    <mergeCell ref="D379:D380"/>
    <mergeCell ref="F379:F380"/>
    <mergeCell ref="D158:D159"/>
    <mergeCell ref="F74:F75"/>
    <mergeCell ref="F201:F202"/>
    <mergeCell ref="D381:D382"/>
    <mergeCell ref="C271:C272"/>
    <mergeCell ref="E29:E30"/>
    <mergeCell ref="F285:F286"/>
    <mergeCell ref="C215:C216"/>
    <mergeCell ref="F138:F139"/>
    <mergeCell ref="D76:D77"/>
    <mergeCell ref="E215:E216"/>
    <mergeCell ref="C142:C143"/>
    <mergeCell ref="F76:F77"/>
    <mergeCell ref="C80:C81"/>
    <mergeCell ref="C273:C274"/>
    <mergeCell ref="D170:D171"/>
    <mergeCell ref="F51:F52"/>
    <mergeCell ref="E279:E280"/>
    <mergeCell ref="F140:F141"/>
    <mergeCell ref="E108:E109"/>
    <mergeCell ref="C144:C145"/>
    <mergeCell ref="E281:E282"/>
    <mergeCell ref="C128:F128"/>
    <mergeCell ref="D92:D93"/>
    <mergeCell ref="F92:F93"/>
    <mergeCell ref="D211:D212"/>
    <mergeCell ref="E72:E73"/>
    <mergeCell ref="C39:C40"/>
    <mergeCell ref="D29:D30"/>
    <mergeCell ref="F229:F230"/>
    <mergeCell ref="F29:F30"/>
    <mergeCell ref="C106:C107"/>
    <mergeCell ref="C355:C356"/>
    <mergeCell ref="D265:D266"/>
    <mergeCell ref="E184:E185"/>
    <mergeCell ref="C329:F329"/>
    <mergeCell ref="C391:C392"/>
    <mergeCell ref="F275:F276"/>
    <mergeCell ref="C339:C340"/>
    <mergeCell ref="C170:C171"/>
    <mergeCell ref="D31:D32"/>
    <mergeCell ref="E213:E214"/>
    <mergeCell ref="E96:E97"/>
    <mergeCell ref="E17:E18"/>
    <mergeCell ref="C172:C173"/>
    <mergeCell ref="E98:E99"/>
    <mergeCell ref="E190:E191"/>
    <mergeCell ref="E19:E20"/>
    <mergeCell ref="F158:F159"/>
    <mergeCell ref="D120:D121"/>
    <mergeCell ref="D387:D388"/>
    <mergeCell ref="D166:D167"/>
    <mergeCell ref="D160:D161"/>
    <mergeCell ref="C25:C26"/>
    <mergeCell ref="E319:E320"/>
    <mergeCell ref="D209:D210"/>
    <mergeCell ref="D184:D185"/>
    <mergeCell ref="F160:F161"/>
    <mergeCell ref="F209:F210"/>
    <mergeCell ref="F219:F220"/>
    <mergeCell ref="C223:C224"/>
    <mergeCell ref="C150:C151"/>
    <mergeCell ref="C197:F197"/>
    <mergeCell ref="F211:F212"/>
    <mergeCell ref="C337:C338"/>
    <mergeCell ref="F90:F91"/>
    <mergeCell ref="C287:C288"/>
    <mergeCell ref="D148:D149"/>
    <mergeCell ref="E45:E46"/>
    <mergeCell ref="E287:E288"/>
    <mergeCell ref="F148:F149"/>
    <mergeCell ref="F82:F83"/>
    <mergeCell ref="E116:E117"/>
    <mergeCell ref="C53:C54"/>
    <mergeCell ref="C158:C159"/>
    <mergeCell ref="D19:D20"/>
    <mergeCell ref="C351:C352"/>
    <mergeCell ref="F19:F20"/>
    <mergeCell ref="C289:C290"/>
    <mergeCell ref="E351:E352"/>
    <mergeCell ref="E47:E48"/>
    <mergeCell ref="E289:E290"/>
    <mergeCell ref="F377:F378"/>
    <mergeCell ref="E345:E346"/>
    <mergeCell ref="E53:E54"/>
    <mergeCell ref="C381:C382"/>
    <mergeCell ref="D271:D272"/>
    <mergeCell ref="D100:D101"/>
    <mergeCell ref="C78:C79"/>
    <mergeCell ref="C160:C161"/>
    <mergeCell ref="E160:E161"/>
    <mergeCell ref="E209:E210"/>
    <mergeCell ref="D237:D238"/>
    <mergeCell ref="E203:E204"/>
    <mergeCell ref="F237:F238"/>
    <mergeCell ref="E140:E141"/>
    <mergeCell ref="D108:D109"/>
    <mergeCell ref="F59:F60"/>
    <mergeCell ref="D239:D240"/>
    <mergeCell ref="F301:F302"/>
    <mergeCell ref="F108:F109"/>
    <mergeCell ref="D337:D338"/>
    <mergeCell ref="C305:C306"/>
    <mergeCell ref="F295:F296"/>
    <mergeCell ref="D331:D332"/>
    <mergeCell ref="C134:C135"/>
    <mergeCell ref="F331:F332"/>
    <mergeCell ref="E221:E222"/>
    <mergeCell ref="D45:D46"/>
    <mergeCell ref="F45:F46"/>
    <mergeCell ref="D281:D282"/>
    <mergeCell ref="F303:F304"/>
    <mergeCell ref="C211:C212"/>
    <mergeCell ref="D47:D48"/>
    <mergeCell ref="D72:D73"/>
    <mergeCell ref="F72:F73"/>
    <mergeCell ref="F47:F48"/>
    <mergeCell ref="E229:E230"/>
    <mergeCell ref="D255:D256"/>
    <mergeCell ref="F136:F137"/>
    <mergeCell ref="E335:E336"/>
    <mergeCell ref="E41:E42"/>
    <mergeCell ref="E277:E278"/>
    <mergeCell ref="D98:D99"/>
    <mergeCell ref="F98:F99"/>
    <mergeCell ref="F225:F226"/>
    <mergeCell ref="F283:F284"/>
    <mergeCell ref="C387:C388"/>
    <mergeCell ref="E142:E143"/>
    <mergeCell ref="F162:F163"/>
    <mergeCell ref="C166:C167"/>
    <mergeCell ref="D27:D28"/>
    <mergeCell ref="F227:F228"/>
    <mergeCell ref="D325:D326"/>
    <mergeCell ref="C353:C354"/>
    <mergeCell ref="F325:F326"/>
    <mergeCell ref="E55:E56"/>
    <mergeCell ref="E353:E354"/>
    <mergeCell ref="F319:F320"/>
    <mergeCell ref="F164:F165"/>
    <mergeCell ref="F291:F292"/>
    <mergeCell ref="C168:C169"/>
    <mergeCell ref="F383:F384"/>
    <mergeCell ref="E211:E212"/>
    <mergeCell ref="F35:F36"/>
    <mergeCell ref="E80:E81"/>
    <mergeCell ref="C148:C149"/>
    <mergeCell ref="D287:D288"/>
    <mergeCell ref="E148:E149"/>
    <mergeCell ref="F385:F386"/>
    <mergeCell ref="E275:E276"/>
    <mergeCell ref="D116:D117"/>
    <mergeCell ref="D205:D206"/>
    <mergeCell ref="D339:D340"/>
    <mergeCell ref="E225:E226"/>
    <mergeCell ref="D53:D54"/>
    <mergeCell ref="D351:D352"/>
    <mergeCell ref="D180:D181"/>
    <mergeCell ref="D289:D290"/>
    <mergeCell ref="F180:F181"/>
    <mergeCell ref="F9:F10"/>
    <mergeCell ref="D9:D10"/>
    <mergeCell ref="F345:F346"/>
    <mergeCell ref="F96:F97"/>
    <mergeCell ref="D118:D119"/>
    <mergeCell ref="C371:C372"/>
    <mergeCell ref="D55:D56"/>
    <mergeCell ref="D353:D354"/>
    <mergeCell ref="D182:D183"/>
    <mergeCell ref="F353:F354"/>
    <mergeCell ref="F182:F183"/>
    <mergeCell ref="F11:F12"/>
    <mergeCell ref="C102:C103"/>
    <mergeCell ref="C245:C246"/>
    <mergeCell ref="C74:C75"/>
    <mergeCell ref="C239:C240"/>
    <mergeCell ref="E301:E302"/>
    <mergeCell ref="E130:E131"/>
    <mergeCell ref="E239:E240"/>
    <mergeCell ref="C68:C69"/>
    <mergeCell ref="E68:E69"/>
    <mergeCell ref="C116:C117"/>
    <mergeCell ref="C5:C6"/>
    <mergeCell ref="E5:E6"/>
    <mergeCell ref="E303:E304"/>
    <mergeCell ref="E132:E133"/>
    <mergeCell ref="E51:E52"/>
    <mergeCell ref="E82:E83"/>
    <mergeCell ref="D233:D234"/>
    <mergeCell ref="F233:F234"/>
    <mergeCell ref="E367:E368"/>
    <mergeCell ref="D371:D372"/>
    <mergeCell ref="F251:F252"/>
    <mergeCell ref="C66:F66"/>
    <mergeCell ref="C255:C256"/>
    <mergeCell ref="F297:F298"/>
    <mergeCell ref="F235:F236"/>
    <mergeCell ref="F17:F18"/>
    <mergeCell ref="D253:D254"/>
    <mergeCell ref="C21:C22"/>
    <mergeCell ref="E94:E95"/>
    <mergeCell ref="F253:F254"/>
    <mergeCell ref="D41:D42"/>
    <mergeCell ref="F41:F42"/>
    <mergeCell ref="F351:F352"/>
    <mergeCell ref="D277:D278"/>
    <mergeCell ref="D130:D131"/>
    <mergeCell ref="D68:D69"/>
    <mergeCell ref="D335:D336"/>
    <mergeCell ref="E158:E159"/>
    <mergeCell ref="F391:F392"/>
    <mergeCell ref="C219:C220"/>
    <mergeCell ref="C23:C24"/>
    <mergeCell ref="D43:D44"/>
    <mergeCell ref="F43:F44"/>
    <mergeCell ref="F341:F342"/>
    <mergeCell ref="E283:E284"/>
    <mergeCell ref="C233:C234"/>
    <mergeCell ref="E162:E163"/>
    <mergeCell ref="E233:E234"/>
    <mergeCell ref="E227:E228"/>
    <mergeCell ref="D188:D189"/>
    <mergeCell ref="C235:C236"/>
    <mergeCell ref="E164:E165"/>
    <mergeCell ref="D361:D362"/>
    <mergeCell ref="D190:D191"/>
    <mergeCell ref="F25:F26"/>
    <mergeCell ref="E293:E294"/>
    <mergeCell ref="C309:C310"/>
    <mergeCell ref="D275:D276"/>
    <mergeCell ref="D219:D220"/>
    <mergeCell ref="E309:E310"/>
    <mergeCell ref="E138:E139"/>
    <mergeCell ref="C205:C206"/>
    <mergeCell ref="C88:C89"/>
    <mergeCell ref="E205:E206"/>
    <mergeCell ref="F247:F248"/>
    <mergeCell ref="C180:C181"/>
    <mergeCell ref="C9:C10"/>
    <mergeCell ref="C251:C252"/>
    <mergeCell ref="E180:E181"/>
    <mergeCell ref="C311:C312"/>
    <mergeCell ref="E9:E10"/>
    <mergeCell ref="C118:C119"/>
    <mergeCell ref="E311:E312"/>
    <mergeCell ref="F114:F115"/>
    <mergeCell ref="C90:C91"/>
    <mergeCell ref="D122:D123"/>
    <mergeCell ref="E90:E91"/>
    <mergeCell ref="C55:C56"/>
    <mergeCell ref="C182:C183"/>
    <mergeCell ref="C11:C12"/>
    <mergeCell ref="F243:F244"/>
    <mergeCell ref="E182:E183"/>
    <mergeCell ref="E11:E12"/>
    <mergeCell ref="E375:E376"/>
    <mergeCell ref="E369:E370"/>
    <mergeCell ref="D245:D246"/>
    <mergeCell ref="D74:D75"/>
    <mergeCell ref="D201:D202"/>
    <mergeCell ref="F130:F131"/>
    <mergeCell ref="D309:D310"/>
    <mergeCell ref="D138:D139"/>
    <mergeCell ref="D5:D6"/>
    <mergeCell ref="D303:D304"/>
    <mergeCell ref="D132:D133"/>
    <mergeCell ref="D203:D204"/>
    <mergeCell ref="F132:F133"/>
    <mergeCell ref="D51:D52"/>
    <mergeCell ref="D82:D83"/>
    <mergeCell ref="D349:D350"/>
    <mergeCell ref="C37:C38"/>
    <mergeCell ref="C279:C280"/>
    <mergeCell ref="F269:F270"/>
    <mergeCell ref="E37:E38"/>
    <mergeCell ref="C108:C109"/>
    <mergeCell ref="F367:F36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theme="9"/>
    <outlinePr summaryBelow="1" summaryRight="1"/>
    <pageSetUpPr/>
  </sheetPr>
  <dimension ref="A1:N401"/>
  <sheetViews>
    <sheetView tabSelected="1" zoomScale="80" zoomScaleNormal="80" workbookViewId="0">
      <pane ySplit="1" topLeftCell="A373" activePane="bottomLeft" state="frozen"/>
      <selection pane="bottomLeft" activeCell="L377" sqref="L377"/>
    </sheetView>
  </sheetViews>
  <sheetFormatPr baseColWidth="8" defaultColWidth="22.140625" defaultRowHeight="18.75"/>
  <cols>
    <col width="14.28515625" customWidth="1" style="45" min="1" max="1"/>
    <col width="12.140625" customWidth="1" style="46" min="2" max="2"/>
    <col width="13" customWidth="1" style="46" min="3" max="3"/>
    <col width="10.5703125" customWidth="1" style="46" min="4" max="4"/>
    <col width="12.140625" customWidth="1" style="46" min="5" max="5"/>
    <col width="10.85546875" customWidth="1" style="46" min="6" max="6"/>
    <col width="12" customWidth="1" style="46" min="7" max="7"/>
    <col width="10.7109375" customWidth="1" style="46" min="8" max="8"/>
    <col width="11.7109375" customWidth="1" style="90" min="9" max="9"/>
    <col width="10.5703125" customWidth="1" style="88" min="10" max="10"/>
    <col width="75.5703125" customWidth="1" style="61" min="11" max="11"/>
    <col width="67.140625" customWidth="1" style="61" min="12" max="12"/>
    <col width="21.7109375" customWidth="1" style="36" min="13" max="13"/>
    <col width="22.140625" customWidth="1" style="43" min="14" max="16384"/>
  </cols>
  <sheetData>
    <row r="1" ht="62.25" customHeight="1" s="22" thickBot="1">
      <c r="A1" s="9" t="inlineStr">
        <is>
          <t>NGÀY</t>
        </is>
      </c>
      <c r="B1" s="10" t="inlineStr">
        <is>
          <t>Chuyến ĐI</t>
        </is>
      </c>
      <c r="C1" s="10" t="inlineStr">
        <is>
          <t>Tổng số H/Khách ĐI</t>
        </is>
      </c>
      <c r="D1" s="10" t="inlineStr">
        <is>
          <t>Chuyến ĐẾN</t>
        </is>
      </c>
      <c r="E1" s="10" t="inlineStr">
        <is>
          <t>Tổng số H/Khách ĐẾN</t>
        </is>
      </c>
      <c r="F1" s="11" t="inlineStr">
        <is>
          <t>Total Baggages</t>
        </is>
      </c>
      <c r="G1" s="12" t="inlineStr">
        <is>
          <t>Baggages (MES)</t>
        </is>
      </c>
      <c r="H1" s="13" t="inlineStr">
        <is>
          <t>Sorter Run Hours (24h)</t>
        </is>
      </c>
      <c r="I1" s="89" t="inlineStr">
        <is>
          <t>khay Viags</t>
        </is>
      </c>
      <c r="J1" s="87" t="inlineStr">
        <is>
          <t>khay Sags</t>
        </is>
      </c>
      <c r="K1" s="50" t="inlineStr">
        <is>
          <t>VẬN HÀNH</t>
        </is>
      </c>
      <c r="L1" s="49" t="inlineStr">
        <is>
          <t>BẢO TRÌ</t>
        </is>
      </c>
      <c r="M1" s="42" t="inlineStr">
        <is>
          <t>TRỰC MDS</t>
        </is>
      </c>
    </row>
    <row r="2" ht="99.75" customHeight="1" s="22">
      <c r="A2" s="149" t="inlineStr">
        <is>
          <t>2025-01-01</t>
        </is>
      </c>
      <c r="B2" s="165" t="n">
        <v>142</v>
      </c>
      <c r="C2" s="165" t="n">
        <v>25371</v>
      </c>
      <c r="D2" s="165" t="n">
        <v>141</v>
      </c>
      <c r="E2" s="165" t="n">
        <v>25137</v>
      </c>
      <c r="F2" s="167" t="n">
        <v>25503</v>
      </c>
      <c r="G2" s="175" t="n">
        <v>4448</v>
      </c>
      <c r="H2" s="175" t="n">
        <v>21523</v>
      </c>
      <c r="I2" s="179" t="inlineStr"/>
      <c r="J2" s="181" t="inlineStr"/>
      <c r="K2" s="51" t="inlineStr">
        <is>
          <t>* Tấm ốp sắt che thành Oval đi số 6 bị bung, đã báo ĐCK (Tâm).
* Băng chuyền đến A3 vẫn tạm dừng khai thác từ 07h15 ngày 28/12/24 (do máy soi tín hiệu chập chờn hay bị tắt nguồn).</t>
        </is>
      </c>
      <c r="L2" s="197" t="inlineStr">
        <is>
          <t xml:space="preserve">* Dây nguồn của cảm biến Chute 01 bị gãy, ĐCN (Phúc) thay mới dây và cảm biến. </t>
        </is>
      </c>
      <c r="M2" s="39" t="inlineStr">
        <is>
          <t>Ca ngày: Nhân</t>
        </is>
      </c>
    </row>
    <row r="3">
      <c r="A3" s="246" t="n"/>
      <c r="B3" s="246" t="n"/>
      <c r="C3" s="246" t="n"/>
      <c r="D3" s="246" t="n"/>
      <c r="E3" s="246" t="n"/>
      <c r="F3" s="246" t="n"/>
      <c r="G3" s="246" t="n"/>
      <c r="H3" s="246" t="n"/>
      <c r="I3" s="246" t="n"/>
      <c r="J3" s="246" t="n"/>
      <c r="K3" s="249" t="inlineStr">
        <is>
          <t>* Không có.</t>
        </is>
      </c>
      <c r="L3" s="116" t="inlineStr">
        <is>
          <t>* Không có.</t>
        </is>
      </c>
      <c r="M3" s="40" t="inlineStr">
        <is>
          <t>Ca đêm: K.Lâm</t>
        </is>
      </c>
    </row>
    <row r="4" ht="75" customHeight="1" s="22">
      <c r="A4" s="153" t="n">
        <v>45659</v>
      </c>
      <c r="B4" s="192" t="inlineStr">
        <is>
          <t>138</t>
        </is>
      </c>
      <c r="C4" s="192" t="inlineStr">
        <is>
          <t>24720</t>
        </is>
      </c>
      <c r="D4" s="192" t="inlineStr">
        <is>
          <t>141</t>
        </is>
      </c>
      <c r="E4" s="192" t="inlineStr">
        <is>
          <t>25802</t>
        </is>
      </c>
      <c r="F4" s="193" t="n">
        <v>24522</v>
      </c>
      <c r="G4" s="201" t="n">
        <v>4929</v>
      </c>
      <c r="H4" s="201" t="n">
        <v>21546</v>
      </c>
      <c r="I4" s="202" t="n"/>
      <c r="J4" s="203" t="n"/>
      <c r="K4" s="55" t="inlineStr">
        <is>
          <t>* Băng chuyền đến A3 vẫn tạm dừng khai thác từ 07h15 ngày 28/12/24 (do máy soi tín hiệu chập chờn hay bị tắt nguồn).
*12h40-13h40 Mất BSM. Báo CNTT reset service, hdbt.
* Đứt 1 belt dẫn hướng số 19 của ind 2.</t>
        </is>
      </c>
      <c r="L4" s="60" t="inlineStr">
        <is>
          <t>* ĐCK ktra, b/trì toàn bộ các đoạn b/c L1,L2,L4,L5,L6.</t>
        </is>
      </c>
      <c r="M4" s="40" t="inlineStr">
        <is>
          <t>Ca ngày: Hùng</t>
        </is>
      </c>
    </row>
    <row r="5">
      <c r="A5" s="246" t="n"/>
      <c r="B5" s="246" t="n"/>
      <c r="C5" s="246" t="n"/>
      <c r="D5" s="246" t="n"/>
      <c r="E5" s="246" t="n"/>
      <c r="F5" s="246" t="n"/>
      <c r="G5" s="246" t="n"/>
      <c r="H5" s="246" t="n"/>
      <c r="I5" s="246" t="n"/>
      <c r="J5" s="246" t="n"/>
      <c r="K5" s="53" t="inlineStr">
        <is>
          <t>* Không có.</t>
        </is>
      </c>
      <c r="L5" s="60" t="inlineStr">
        <is>
          <t>* Không có.</t>
        </is>
      </c>
      <c r="M5" s="40" t="inlineStr">
        <is>
          <t>Ca đêm: K.Lâm</t>
        </is>
      </c>
    </row>
    <row r="6" ht="75" customHeight="1" s="22">
      <c r="A6" s="153" t="n">
        <v>45660</v>
      </c>
      <c r="B6" s="192" t="inlineStr">
        <is>
          <t>143</t>
        </is>
      </c>
      <c r="C6" s="192" t="inlineStr">
        <is>
          <t>25446</t>
        </is>
      </c>
      <c r="D6" s="192" t="inlineStr">
        <is>
          <t>142</t>
        </is>
      </c>
      <c r="E6" s="192" t="inlineStr">
        <is>
          <t>26142</t>
        </is>
      </c>
      <c r="F6" s="193" t="n">
        <v>25439</v>
      </c>
      <c r="G6" s="201" t="n">
        <v>4394</v>
      </c>
      <c r="H6" s="201" t="n">
        <v>21570</v>
      </c>
      <c r="I6" s="202" t="n">
        <v>163</v>
      </c>
      <c r="J6" s="203" t="n">
        <v>165</v>
      </c>
      <c r="K6" s="53" t="inlineStr">
        <is>
          <t>* Băng chuyền đến A3 vẫn tạm dừng khai thác từ 07h15 ngày 28/12/24 (do máy soi tín hiệu chập chờn hay bị tắt nguồn).
* Quầy cân I9 tiếp tục lệch kg, đã calib, hđbt.</t>
        </is>
      </c>
      <c r="L6" s="60" t="inlineStr">
        <is>
          <t>* ĐCN (Toàn) bảo trì Departure line 3, 4.
* ĐCK (Trung, Tuấn) chỉnh lại rulo và belt cần gạt line 6 L6B01B.
* ĐĐT thay relay tín hiệu reverse cho máy soi đảo C.</t>
        </is>
      </c>
      <c r="M6" s="40" t="inlineStr">
        <is>
          <t>Ca ngày: Thái</t>
        </is>
      </c>
    </row>
    <row r="7" ht="118.5" customHeight="1" s="22">
      <c r="A7" s="246" t="n"/>
      <c r="B7" s="246" t="n"/>
      <c r="C7" s="246" t="n"/>
      <c r="D7" s="246" t="n"/>
      <c r="E7" s="246" t="n"/>
      <c r="F7" s="246" t="n"/>
      <c r="G7" s="246" t="n"/>
      <c r="H7" s="246" t="n"/>
      <c r="I7" s="246" t="n"/>
      <c r="J7" s="246" t="n"/>
      <c r="K7" s="56" t="inlineStr">
        <is>
          <t>* Quầy cân I9 lệch kí nhiều lần, nhân viên vận hành calib, tiếp tục khai thác.
* Triển khay công tác kiểm đếm khay nhựa đựng hành lý hàng ngày.</t>
        </is>
      </c>
      <c r="L7" s="60" t="inlineStr">
        <is>
          <t>* ĐCK thay phốt trong hộp số motor băng chuyền L4-45, phát hiện rulo căng của băng chuyền bị ra mạt sắt.
* ĐCK thay bánh xe chịu tải ngoài số 22, 81, 83, 88, 206, 224, 2, 75, 82, 165, 254 và thay thêm bánh xe chịu tải trong số 72, 223, 235 của ovan đến A8/</t>
        </is>
      </c>
      <c r="M7" s="40" t="inlineStr">
        <is>
          <t>Ca đêm: Chơn.</t>
        </is>
      </c>
    </row>
    <row r="8" ht="37.5" customHeight="1" s="22">
      <c r="A8" s="153" t="n">
        <v>45661</v>
      </c>
      <c r="B8" s="164" t="inlineStr">
        <is>
          <t>138</t>
        </is>
      </c>
      <c r="C8" s="164" t="inlineStr">
        <is>
          <t>26296</t>
        </is>
      </c>
      <c r="D8" s="164" t="inlineStr">
        <is>
          <t>136</t>
        </is>
      </c>
      <c r="E8" s="164" t="inlineStr">
        <is>
          <t>24597</t>
        </is>
      </c>
      <c r="F8" s="166" t="n">
        <v>25396</v>
      </c>
      <c r="G8" s="177" t="n">
        <v>4551</v>
      </c>
      <c r="H8" s="177" t="n">
        <v>21594</v>
      </c>
      <c r="I8" s="172" t="n">
        <v>153</v>
      </c>
      <c r="J8" s="158" t="n">
        <v>140</v>
      </c>
      <c r="K8" s="53" t="inlineStr">
        <is>
          <t>* Quầy cân I9 tiếp tục lệch kg, đã calib, hđbt.
* UPS1 báo lỗi, ĐCN đang kiểm tra, tiếp tục theo dõi.</t>
        </is>
      </c>
      <c r="L8" s="60" t="inlineStr">
        <is>
          <t>* ĐCK tháo cần gạt L6 về central sửa chữa và đã lắp lại.
* ĐCK thay bạc đạn TR2-5, hđbt</t>
        </is>
      </c>
      <c r="M8" s="40" t="inlineStr">
        <is>
          <t>Ca ngày: Nhân</t>
        </is>
      </c>
    </row>
    <row r="9" ht="140.25" customHeight="1" s="22">
      <c r="A9" s="246" t="n"/>
      <c r="B9" s="250" t="n"/>
      <c r="C9" s="250" t="n"/>
      <c r="D9" s="250" t="n"/>
      <c r="E9" s="250" t="n"/>
      <c r="F9" s="250" t="n"/>
      <c r="G9" s="250" t="n"/>
      <c r="H9" s="250" t="n"/>
      <c r="I9" s="250" t="n"/>
      <c r="J9" s="250" t="n"/>
      <c r="K9" s="56" t="inlineStr">
        <is>
          <t>* Băng chuyền đến A3 vẫn tạm dừng khai thác từ 07h15 ngày 28/12/24 (do máy soi tín hiệu chập chờn hay bị tắt nguồn).
* UPS02 thuộc tủ Rack cũ (không còn sử dụng) hiện nay đang báo lỗi và có mùi khét từ UPS này.VHBCQT đã báo và đang chờ ĐCN hỗ trợ tháo ra xử lý.</t>
        </is>
      </c>
      <c r="L9" s="60" t="inlineStr">
        <is>
          <t>* Không có.</t>
        </is>
      </c>
      <c r="M9" s="40" t="inlineStr">
        <is>
          <t>Ca đêm: Thái</t>
        </is>
      </c>
    </row>
    <row r="10" ht="94.5" customHeight="1" s="22" thickBot="1">
      <c r="A10" s="150" t="n">
        <v>45662</v>
      </c>
      <c r="B10" s="251" t="inlineStr">
        <is>
          <t>144</t>
        </is>
      </c>
      <c r="C10" s="184" t="inlineStr">
        <is>
          <t>26862</t>
        </is>
      </c>
      <c r="D10" s="184" t="inlineStr">
        <is>
          <t>114</t>
        </is>
      </c>
      <c r="E10" s="184" t="inlineStr">
        <is>
          <t>26233</t>
        </is>
      </c>
      <c r="F10" s="186" t="n">
        <v>26581</v>
      </c>
      <c r="G10" s="190" t="n">
        <v>4591</v>
      </c>
      <c r="H10" s="190" t="n">
        <v>21618</v>
      </c>
      <c r="I10" s="178" t="n">
        <v>150</v>
      </c>
      <c r="J10" s="180" t="n">
        <v>138</v>
      </c>
      <c r="K10" s="56" t="inlineStr">
        <is>
          <t>* Băng chuyền đến A3 vẫn tạm dừng khai thác từ 07h15 ngày 28/12/24 (do máy soi tín hiệu chập chờn hay bị tắt nguồn).
* Quầy cân I9, C6 lệch nhiều lần, nhân viên vận hành calib tiếp tục khai thác.
* Đứt 1 belt gân số 16 của ind 5.</t>
        </is>
      </c>
      <c r="L10" s="60" t="inlineStr">
        <is>
          <t>* Không có.</t>
        </is>
      </c>
      <c r="M10" s="40" t="inlineStr">
        <is>
          <t>Ca ngày: Chơn.</t>
        </is>
      </c>
    </row>
    <row r="11" ht="42.75" customHeight="1" s="22">
      <c r="A11" s="252" t="n"/>
      <c r="B11" s="252" t="n"/>
      <c r="C11" s="253" t="n"/>
      <c r="D11" s="253" t="n"/>
      <c r="E11" s="253" t="n"/>
      <c r="F11" s="253" t="n"/>
      <c r="G11" s="253" t="n"/>
      <c r="H11" s="253" t="n"/>
      <c r="I11" s="253" t="n"/>
      <c r="J11" s="253" t="n"/>
      <c r="K11" s="57" t="inlineStr">
        <is>
          <t>* Không có.</t>
        </is>
      </c>
      <c r="L11" s="58" t="inlineStr">
        <is>
          <t>* Không có.</t>
        </is>
      </c>
      <c r="M11" s="41" t="inlineStr">
        <is>
          <t>Ca đêm: K.Lâm</t>
        </is>
      </c>
    </row>
    <row r="12" ht="87" customHeight="1" s="22">
      <c r="A12" s="153" t="n">
        <v>45663</v>
      </c>
      <c r="B12" s="192" t="inlineStr">
        <is>
          <t>137</t>
        </is>
      </c>
      <c r="C12" s="192" t="inlineStr">
        <is>
          <t>24531</t>
        </is>
      </c>
      <c r="D12" s="192" t="inlineStr">
        <is>
          <t>134</t>
        </is>
      </c>
      <c r="E12" s="192" t="inlineStr">
        <is>
          <t>24768</t>
        </is>
      </c>
      <c r="F12" s="193" t="n">
        <v>23584</v>
      </c>
      <c r="G12" s="201" t="n">
        <v>4281</v>
      </c>
      <c r="H12" s="201" t="n">
        <v>21641</v>
      </c>
      <c r="I12" s="202" t="n">
        <v>151</v>
      </c>
      <c r="J12" s="203" t="n">
        <v>138</v>
      </c>
      <c r="K12" s="59" t="inlineStr">
        <is>
          <t>* Băng chuyền đến A3 vẫn tạm dừng khai thác từ 07h15 ngày 28/12/24 (do máy soi tín hiệu chập chờn hay bị tắt nguồn).
* Motor A1-4 có tiếng kêu cơ khí, đã báo ĐCK.</t>
        </is>
      </c>
      <c r="L12" s="60" t="inlineStr">
        <is>
          <t>* Đội  CNTT đã lấy 2 UPS của tủ RACK cũ sang đội Điện tử kiểm tra.</t>
        </is>
      </c>
      <c r="M12" s="40" t="inlineStr">
        <is>
          <t>Ca ngày: Thái</t>
        </is>
      </c>
    </row>
    <row r="13" ht="39" customHeight="1" s="22">
      <c r="A13" s="246" t="n"/>
      <c r="B13" s="246" t="n"/>
      <c r="C13" s="246" t="n"/>
      <c r="D13" s="246" t="n"/>
      <c r="E13" s="246" t="n"/>
      <c r="F13" s="246" t="n"/>
      <c r="G13" s="246" t="n"/>
      <c r="H13" s="246" t="n"/>
      <c r="I13" s="246" t="n"/>
      <c r="J13" s="246" t="n"/>
      <c r="K13" s="60" t="inlineStr">
        <is>
          <t>* Sorter báo '' No connetion from plc to cst'',
 reset hoạt động bình thường.</t>
        </is>
      </c>
      <c r="L13" s="58" t="inlineStr">
        <is>
          <t>* Không có.</t>
        </is>
      </c>
      <c r="M13" s="37" t="inlineStr">
        <is>
          <t>Ca đêm: Chơn.</t>
        </is>
      </c>
    </row>
    <row r="14" ht="56.25" customHeight="1" s="22">
      <c r="A14" s="153" t="n">
        <v>45664</v>
      </c>
      <c r="B14" s="192" t="inlineStr">
        <is>
          <t>138</t>
        </is>
      </c>
      <c r="C14" s="192" t="inlineStr">
        <is>
          <t>22790</t>
        </is>
      </c>
      <c r="D14" s="192" t="inlineStr">
        <is>
          <t>140</t>
        </is>
      </c>
      <c r="E14" s="192" t="inlineStr">
        <is>
          <t>24461</t>
        </is>
      </c>
      <c r="F14" s="193" t="n">
        <v>23951</v>
      </c>
      <c r="G14" s="201" t="n">
        <v>4342</v>
      </c>
      <c r="H14" s="201" t="n">
        <v>21664</v>
      </c>
      <c r="I14" s="202" t="n">
        <v>114</v>
      </c>
      <c r="J14" s="203" t="n">
        <v>109</v>
      </c>
      <c r="K14" s="59" t="inlineStr">
        <is>
          <t>* Quầy I9 lệch nhiều lần, đã báo ĐCK(Bá Trung) để sáng mai ĐCK ktra lại.
* Đã lưu report 6/1</t>
        </is>
      </c>
      <c r="L14" s="60" t="inlineStr">
        <is>
          <t>* Không có.</t>
        </is>
      </c>
      <c r="M14" s="40" t="inlineStr">
        <is>
          <t>Ca ngày: K.Lâm</t>
        </is>
      </c>
    </row>
    <row r="15" ht="56.25" customHeight="1" s="22">
      <c r="A15" s="246" t="n"/>
      <c r="B15" s="246" t="n"/>
      <c r="C15" s="246" t="n"/>
      <c r="D15" s="246" t="n"/>
      <c r="E15" s="246" t="n"/>
      <c r="F15" s="246" t="n"/>
      <c r="G15" s="246" t="n"/>
      <c r="H15" s="246" t="n"/>
      <c r="I15" s="246" t="n"/>
      <c r="J15" s="246" t="n"/>
      <c r="K15" s="60" t="inlineStr">
        <is>
          <t>* Băng chuyền đến A3 vẫn tạm dừng khai thác từ 07h15 ngày 28/12/24 (do máy soi tín hiệu chập chờn hay bị tắt nguồn).
* L5-4 không chạy nổi khi hành lý nặng, đã báo a Sơn ĐCK.</t>
        </is>
      </c>
      <c r="L15" s="60" t="inlineStr">
        <is>
          <t>* Không có.</t>
        </is>
      </c>
      <c r="M15" s="37" t="inlineStr">
        <is>
          <t>Ca đêm: Thái</t>
        </is>
      </c>
    </row>
    <row r="16" ht="18.75" customHeight="1" s="22">
      <c r="A16" s="153" t="n">
        <v>45665</v>
      </c>
      <c r="B16" s="254" t="n">
        <v>143</v>
      </c>
      <c r="C16" s="254" t="n">
        <v>23815</v>
      </c>
      <c r="D16" s="254" t="n">
        <v>138</v>
      </c>
      <c r="E16" s="254" t="n">
        <v>24876</v>
      </c>
      <c r="F16" s="254" t="n">
        <v>25540</v>
      </c>
      <c r="G16" s="254" t="n">
        <v>4354</v>
      </c>
      <c r="H16" s="254" t="n">
        <v>21687</v>
      </c>
      <c r="I16" s="247" t="n">
        <v>151</v>
      </c>
      <c r="J16" s="248" t="n">
        <v>141</v>
      </c>
      <c r="K16" s="60" t="inlineStr">
        <is>
          <t>* Không có.</t>
        </is>
      </c>
      <c r="L16" s="58" t="inlineStr">
        <is>
          <t>* ĐCN (Khôi) bảo trì tủ checkin-departure line1.</t>
        </is>
      </c>
      <c r="M16" s="37" t="inlineStr">
        <is>
          <t>Ca ngày: Chơn.</t>
        </is>
      </c>
    </row>
    <row r="17" ht="15" customHeight="1" s="22">
      <c r="A17" s="250" t="n"/>
      <c r="B17" s="250" t="n"/>
      <c r="C17" s="250" t="n"/>
      <c r="D17" s="250" t="n"/>
      <c r="E17" s="250" t="n"/>
      <c r="F17" s="250" t="n"/>
      <c r="G17" s="250" t="n"/>
      <c r="H17" s="250" t="n"/>
      <c r="I17" s="250" t="n"/>
      <c r="J17" s="250" t="n"/>
      <c r="K17" s="246" t="n"/>
      <c r="L17" s="246" t="n"/>
      <c r="M17" s="246" t="n"/>
    </row>
    <row r="18" ht="56.25" customHeight="1" s="22">
      <c r="A18" s="246" t="n"/>
      <c r="B18" s="246" t="n"/>
      <c r="C18" s="246" t="n"/>
      <c r="D18" s="246" t="n"/>
      <c r="E18" s="246" t="n"/>
      <c r="F18" s="246" t="n"/>
      <c r="G18" s="246" t="n"/>
      <c r="H18" s="246" t="n"/>
      <c r="I18" s="246" t="n"/>
      <c r="J18" s="246" t="n"/>
      <c r="K18" s="60" t="inlineStr">
        <is>
          <t>* 23h15 khu vực quầy H2 có mùi hôi, đội cơ khí
 (Hoàng) hỗ trợ tháo quầy cân để VSMT kiểm tra, chưa phát hiện nguyên nhân. Tạm vệ sinh rác khu vực quầy cân H2.</t>
        </is>
      </c>
      <c r="L18" s="60" t="inlineStr">
        <is>
          <t>* Không có.</t>
        </is>
      </c>
      <c r="M18" s="37" t="inlineStr">
        <is>
          <t>Ca đêm: K.Lâm</t>
        </is>
      </c>
    </row>
    <row r="19" ht="112.5" customHeight="1" s="22">
      <c r="A19" s="153" t="n">
        <v>45666</v>
      </c>
      <c r="B19" s="192" t="inlineStr">
        <is>
          <t>136</t>
        </is>
      </c>
      <c r="C19" s="192" t="inlineStr">
        <is>
          <t>23083</t>
        </is>
      </c>
      <c r="D19" s="192" t="inlineStr">
        <is>
          <t>136</t>
        </is>
      </c>
      <c r="E19" s="192" t="inlineStr">
        <is>
          <t>24556</t>
        </is>
      </c>
      <c r="F19" s="193" t="n">
        <v>24151</v>
      </c>
      <c r="G19" s="201" t="n">
        <v>4226</v>
      </c>
      <c r="H19" s="201" t="n">
        <v>21712</v>
      </c>
      <c r="I19" s="202" t="n">
        <v>151</v>
      </c>
      <c r="J19" s="203" t="n">
        <v>145</v>
      </c>
      <c r="K19" s="59" t="inlineStr">
        <is>
          <t>* Băng chuyền đến A3 đang sữa chửa, vẫn tạm dừng khai thác từ 07h15 ngày 28/12/24 (do máy soi tín hiệu chập chờn hay bị tắt nguồn).
* ĐCK đã chỉnh belt L5-4, L5-10.
* ĐCK thay 2 loadcell cho cân I9 (2,4).
* Cân D8 lệch 2 lần trong ngày.</t>
        </is>
      </c>
      <c r="L19" s="60" t="inlineStr">
        <is>
          <t>* Không có.</t>
        </is>
      </c>
      <c r="M19" s="40" t="inlineStr">
        <is>
          <t>Ca ngày: Thái</t>
        </is>
      </c>
    </row>
    <row r="20" ht="75" customHeight="1" s="22">
      <c r="A20" s="246" t="n"/>
      <c r="B20" s="246" t="n"/>
      <c r="C20" s="246" t="n"/>
      <c r="D20" s="246" t="n"/>
      <c r="E20" s="246" t="n"/>
      <c r="F20" s="246" t="n"/>
      <c r="G20" s="246" t="n"/>
      <c r="H20" s="246" t="n"/>
      <c r="I20" s="246" t="n"/>
      <c r="J20" s="246" t="n"/>
      <c r="K20" s="60" t="inlineStr">
        <is>
          <t>* Cân D8 lệch ký 2 lần. NVVH đã hiệu chỉnh. HĐBT.
* ĐCK thay mới adaptor quầy cần I10. (hư adaptor).
* L5-4 vẫn còn bị tình trạng băng chuyền chạy không nỗi, ca sau báo cơ khí giùm.</t>
        </is>
      </c>
      <c r="L20" s="60" t="inlineStr">
        <is>
          <t>* Không có.</t>
        </is>
      </c>
      <c r="M20" s="37" t="inlineStr">
        <is>
          <t>Ca đêm: Chơn.</t>
        </is>
      </c>
    </row>
    <row r="21" ht="93.75" customHeight="1" s="22">
      <c r="A21" s="153" t="n">
        <v>45667</v>
      </c>
      <c r="B21" s="192" t="inlineStr">
        <is>
          <t>140</t>
        </is>
      </c>
      <c r="C21" s="192" t="inlineStr">
        <is>
          <t>24716</t>
        </is>
      </c>
      <c r="D21" s="192" t="inlineStr">
        <is>
          <t>140</t>
        </is>
      </c>
      <c r="E21" s="192" t="inlineStr">
        <is>
          <t>26764</t>
        </is>
      </c>
      <c r="F21" s="193" t="n">
        <v>26487</v>
      </c>
      <c r="G21" s="201" t="n">
        <v>4421</v>
      </c>
      <c r="H21" s="201" t="n">
        <v>21735</v>
      </c>
      <c r="I21" s="202" t="n">
        <v>135</v>
      </c>
      <c r="J21" s="203" t="n">
        <v>111</v>
      </c>
      <c r="K21" s="59" t="inlineStr">
        <is>
          <t>* Băng chuyền đến A3 đang sữa chửa, vẫn tạm dừng khai thác từ 07h15 ngày 28/12/24 (do máy soi tín hiệu chập chờn hay bị tắt nguồn).
* Cân D8 lệch ký 3 lần, đã báo ĐCK(Việt) ca sáng mai kiểm tra lại.
* Đã lưu report 09/1</t>
        </is>
      </c>
      <c r="L21" s="60" t="inlineStr">
        <is>
          <t>* ĐCN (Toàn) bảo trì tủ điện Departure line 1,2.</t>
        </is>
      </c>
      <c r="M21" s="40" t="inlineStr">
        <is>
          <t>Ca ngày: K.Lâm</t>
        </is>
      </c>
    </row>
    <row r="22" ht="103.5" customHeight="1" s="22">
      <c r="A22" s="246" t="n"/>
      <c r="B22" s="246" t="n"/>
      <c r="C22" s="246" t="n"/>
      <c r="D22" s="246" t="n"/>
      <c r="E22" s="246" t="n"/>
      <c r="F22" s="246" t="n"/>
      <c r="G22" s="246" t="n"/>
      <c r="H22" s="246" t="n"/>
      <c r="I22" s="246" t="n"/>
      <c r="J22" s="246" t="n"/>
      <c r="K22" s="60" t="inlineStr">
        <is>
          <t>* PLC của TTS báo lỗi hết Pin, đã báo đội ĐCN (MR Lư), chờ thay thế.
* Đoạn băng chuyền SM5-4 báo lỗi giả "Isolator Off", Đội ĐCN đã khắc phục.</t>
        </is>
      </c>
      <c r="L22" s="60" t="inlineStr">
        <is>
          <t>* Không có.</t>
        </is>
      </c>
      <c r="M22" s="37" t="inlineStr">
        <is>
          <t>Ca đêm: Thái</t>
        </is>
      </c>
    </row>
    <row r="23" ht="93.75" customHeight="1" s="22">
      <c r="A23" s="153" t="n">
        <v>45668</v>
      </c>
      <c r="B23" s="254" t="n">
        <v>138</v>
      </c>
      <c r="C23" s="254" t="n">
        <v>30089</v>
      </c>
      <c r="D23" s="254" t="n">
        <v>135</v>
      </c>
      <c r="E23" s="254" t="n">
        <v>24780</v>
      </c>
      <c r="F23" s="254" t="n">
        <v>24960</v>
      </c>
      <c r="G23" s="254" t="n">
        <v>4159</v>
      </c>
      <c r="H23" s="254" t="n">
        <v>21758</v>
      </c>
      <c r="I23" s="247" t="n">
        <v>153</v>
      </c>
      <c r="J23" s="248" t="n">
        <v>144</v>
      </c>
      <c r="K23" s="60" t="inlineStr">
        <is>
          <t>* ĐCN (Phúc) siết lại tiếp điểm SM5-4, hoạt động
bình thường.
* Băng chuyền đến A3 đang sữa chửa, vẫn tạm dừng khai thác từ 07h15 ngày 28/12/24 (do máy soi tín hiệu chập chờn hay bị tắt nguồn).</t>
        </is>
      </c>
      <c r="L23" s="58" t="inlineStr">
        <is>
          <t>* ĐCK thay mới 4 loadcell quầy cân D8.</t>
        </is>
      </c>
      <c r="M23" s="37" t="inlineStr">
        <is>
          <t>Ca ngày: Chơn.</t>
        </is>
      </c>
    </row>
    <row r="24">
      <c r="A24" s="246" t="n"/>
      <c r="B24" s="246" t="n"/>
      <c r="C24" s="246" t="n"/>
      <c r="D24" s="246" t="n"/>
      <c r="E24" s="246" t="n"/>
      <c r="F24" s="246" t="n"/>
      <c r="G24" s="246" t="n"/>
      <c r="H24" s="246" t="n"/>
      <c r="I24" s="246" t="n"/>
      <c r="J24" s="246" t="n"/>
      <c r="K24" s="58" t="inlineStr">
        <is>
          <t>* Không có.</t>
        </is>
      </c>
      <c r="L24" s="58" t="inlineStr">
        <is>
          <t>* Không có.</t>
        </is>
      </c>
      <c r="M24" s="37" t="inlineStr">
        <is>
          <t>Ca đêm: K.Lâm</t>
        </is>
      </c>
    </row>
    <row r="25" ht="112.5" customHeight="1" s="22">
      <c r="A25" s="153" t="n">
        <v>45669</v>
      </c>
      <c r="B25" s="254" t="n">
        <v>143</v>
      </c>
      <c r="C25" s="254" t="n">
        <v>25828</v>
      </c>
      <c r="D25" s="254" t="n">
        <v>143</v>
      </c>
      <c r="E25" s="254" t="n">
        <v>26525</v>
      </c>
      <c r="F25" s="254" t="n">
        <v>27232</v>
      </c>
      <c r="G25" s="254" t="n">
        <v>4476</v>
      </c>
      <c r="H25" s="254" t="n">
        <v>21783</v>
      </c>
      <c r="I25" s="247" t="n">
        <v>155</v>
      </c>
      <c r="J25" s="248" t="n">
        <v>140</v>
      </c>
      <c r="K25" s="60" t="inlineStr">
        <is>
          <t>* 13h31 đảo thủ tục K-L ga quốc tế bị tác động báo cháy, reset hệ thống hoạt động bình thường.
* L4-45 kêu bạc đạn, đã báo a Sơn CK.
* Băng chuyền đến A3 đang sữa chửa, vẫn tạm dừng khai thác từ 07h15 ngày 28/12/24 (do máy soi tín hiệu chập chờn hay bị tắt nguồn).</t>
        </is>
      </c>
      <c r="L25" s="58" t="inlineStr">
        <is>
          <t>* Không có.</t>
        </is>
      </c>
      <c r="M25" s="37" t="inlineStr">
        <is>
          <t>Ca ngày: Thái</t>
        </is>
      </c>
    </row>
    <row r="26" ht="112.5" customHeight="1" s="22">
      <c r="A26" s="246" t="n"/>
      <c r="B26" s="246" t="n"/>
      <c r="C26" s="246" t="n"/>
      <c r="D26" s="246" t="n"/>
      <c r="E26" s="246" t="n"/>
      <c r="F26" s="246" t="n"/>
      <c r="G26" s="246" t="n"/>
      <c r="H26" s="246" t="n"/>
      <c r="I26" s="246" t="n"/>
      <c r="J26" s="246" t="n"/>
      <c r="K26" s="60" t="inlineStr">
        <is>
          <t>*B/C L5-4 chạy không nổi khi có tải nặng, đã báo ĐCK. ĐCK (Tuấn) ktra căng chỉnh belt nhưng chưa được, sẽ báo ĐCN điều chỉnh dòng điện motor. Ca sau theo dõi cập nhật.
* Băng chuyền đến A3 đang sữa chửa, vẫn tạm dừng khai thác từ 07h15 ngày 28/12/24 (do máy soi tín hiệu chập chờn hay bị tắt nguồn).</t>
        </is>
      </c>
      <c r="L26" s="60" t="inlineStr">
        <is>
          <t>* Không có.</t>
        </is>
      </c>
      <c r="M26" s="40" t="inlineStr">
        <is>
          <t>Ca đêm: Chơn.</t>
        </is>
      </c>
    </row>
    <row r="27" ht="75" customHeight="1" s="22">
      <c r="A27" s="153" t="n">
        <v>45670</v>
      </c>
      <c r="B27" s="254" t="n">
        <v>132</v>
      </c>
      <c r="C27" s="254" t="n">
        <v>23741</v>
      </c>
      <c r="D27" s="254" t="n">
        <v>139</v>
      </c>
      <c r="E27" s="254" t="n">
        <v>25871</v>
      </c>
      <c r="F27" s="254" t="n">
        <v>23769</v>
      </c>
      <c r="G27" s="254" t="n">
        <v>4222</v>
      </c>
      <c r="H27" s="254" t="n">
        <v>21805</v>
      </c>
      <c r="I27" s="247" t="n">
        <v>154</v>
      </c>
      <c r="J27" s="248" t="n">
        <v>146</v>
      </c>
      <c r="K27" s="60" t="inlineStr">
        <is>
          <t>* Đã lưu report 12/1
* Băng chuyền đến A3 đang sữa chửa, vẫn tạm dừng khai thác từ 07h15 ngày 28/12/24 (do máy soi tín hiệu chập chờn hay bị tắt nguồn).</t>
        </is>
      </c>
      <c r="L27" s="60" t="inlineStr">
        <is>
          <t>* ĐCK (Tâm) đóng móc tapi L2-13.
* ĐĐtử (Kiên) kiểm tra tín hiệu cửa sập đảo IJ.
* Đội ĐHKK (Tuấn) rửa giàn nóng máy lạnh đứng Reetech phòng Server .</t>
        </is>
      </c>
      <c r="M27" s="37" t="inlineStr">
        <is>
          <t>Ca ngày: K.Lâm</t>
        </is>
      </c>
    </row>
    <row r="28" ht="56.25" customHeight="1" s="22">
      <c r="A28" s="246" t="n"/>
      <c r="B28" s="246" t="n"/>
      <c r="C28" s="246" t="n"/>
      <c r="D28" s="246" t="n"/>
      <c r="E28" s="246" t="n"/>
      <c r="F28" s="246" t="n"/>
      <c r="G28" s="246" t="n"/>
      <c r="H28" s="246" t="n"/>
      <c r="I28" s="246" t="n"/>
      <c r="J28" s="246" t="n"/>
      <c r="K28" s="60" t="inlineStr">
        <is>
          <t>* Băng chuyền L5-4 chạy không nổi khi có tải nặng, ĐCK (Tuấn) kiểm tra căng chỉnh belt nhưng chưa được, chờ ĐCN xử lý. Ca sau theo dõi cập nhật.</t>
        </is>
      </c>
      <c r="L28" s="60" t="inlineStr">
        <is>
          <t>* Không có.</t>
        </is>
      </c>
      <c r="M28" s="40" t="inlineStr">
        <is>
          <t>Ca đêm: Thái</t>
        </is>
      </c>
    </row>
    <row r="29" ht="37.5" customHeight="1" s="22">
      <c r="A29" s="153" t="n">
        <v>45671</v>
      </c>
      <c r="B29" s="254" t="n">
        <v>136</v>
      </c>
      <c r="C29" s="254" t="n">
        <v>23542</v>
      </c>
      <c r="D29" s="254" t="n">
        <v>135</v>
      </c>
      <c r="E29" s="254" t="n">
        <v>24668</v>
      </c>
      <c r="F29" s="254" t="n">
        <v>25634</v>
      </c>
      <c r="G29" s="254" t="n">
        <v>4590</v>
      </c>
      <c r="H29" s="254" t="n">
        <v>21829</v>
      </c>
      <c r="I29" s="247" t="n">
        <v>164</v>
      </c>
      <c r="J29" s="248" t="n">
        <v>155</v>
      </c>
      <c r="K29" s="58" t="inlineStr">
        <is>
          <t>* Đã báo ĐCK (a Thanh) tình trạng L5-4, L5-10.</t>
        </is>
      </c>
      <c r="L29" s="60" t="inlineStr">
        <is>
          <t>* ĐCN kiểm tra motor băng chuyền L4-31, L2-31.
* ĐCK tiếp tục kiểm tra băng chuyền L5-4.</t>
        </is>
      </c>
      <c r="M29" s="37" t="inlineStr">
        <is>
          <t>Ca ngày: Chơn.</t>
        </is>
      </c>
    </row>
    <row r="30" ht="81.75" customFormat="1" customHeight="1" s="86">
      <c r="A30" s="246" t="n"/>
      <c r="B30" s="246" t="n"/>
      <c r="C30" s="246" t="n"/>
      <c r="D30" s="246" t="n"/>
      <c r="E30" s="246" t="n"/>
      <c r="F30" s="246" t="n"/>
      <c r="G30" s="246" t="n"/>
      <c r="H30" s="246" t="n"/>
      <c r="I30" s="246" t="n"/>
      <c r="J30" s="246" t="n"/>
      <c r="K30" s="84" t="inlineStr">
        <is>
          <t xml:space="preserve">* Nhờ ca sáng báo lại ĐCK motor L1-40 khi khởi 
động, giật kêu lớn.
* Máy soi số 6 báo lỗi "Xray cannot actived", buộc dừng khai thác.
</t>
        </is>
      </c>
      <c r="L30" s="84" t="inlineStr">
        <is>
          <t>* ĐCK (Việt) thay rulo, đóng móc tapi mới băng 
chuyền L5-4. Các ca sau theo dõi thêm.</t>
        </is>
      </c>
      <c r="M30" s="85" t="inlineStr">
        <is>
          <t>Ca đêm: K.Lâm.</t>
        </is>
      </c>
    </row>
    <row r="31" ht="150" customHeight="1" s="22">
      <c r="A31" s="153" t="n">
        <v>45672</v>
      </c>
      <c r="B31" s="254" t="n">
        <v>143</v>
      </c>
      <c r="C31" s="254" t="n">
        <v>24915</v>
      </c>
      <c r="D31" s="254" t="n">
        <v>151</v>
      </c>
      <c r="E31" s="254" t="n">
        <v>26353</v>
      </c>
      <c r="F31" s="254" t="n">
        <v>27420</v>
      </c>
      <c r="G31" s="254" t="n">
        <v>4440</v>
      </c>
      <c r="H31" s="254" t="n">
        <v>21853</v>
      </c>
      <c r="I31" s="247" t="n">
        <v>151</v>
      </c>
      <c r="J31" s="248" t="n">
        <v>144</v>
      </c>
      <c r="K31" s="60" t="inlineStr">
        <is>
          <t>* Băng chuyền đến A3 đang sữa chửa, vẫn tạm dừng khai thác từ 07h15 ngày 28/12/24 (do máy soi tín hiệu chập chờn hay bị tắt nguồn).
* Máy soi số 6 báo lỗi "Xray cannot actived", buộc dừng khai thác.(từ ngày 14/01/2025).
* Quầy cân A7, A8 thường xuyên lệch ký. NVVH đã hiệu chỉnh, hđbt.
* Khay 20 gãy chân. Disable.</t>
        </is>
      </c>
      <c r="L31" s="60" t="inlineStr">
        <is>
          <t>* ĐCN bảo trì băng chuyền đến 4,5.
* ĐCK thay rulo căng băng chuyền L4-45.
* ĐCK thay motor A1-4 bằng motor dự phòng.</t>
        </is>
      </c>
      <c r="M31" s="37" t="inlineStr">
        <is>
          <t>Ca ngày: Thái.</t>
        </is>
      </c>
    </row>
    <row r="32">
      <c r="A32" s="246" t="n"/>
      <c r="B32" s="246" t="n"/>
      <c r="C32" s="246" t="n"/>
      <c r="D32" s="246" t="n"/>
      <c r="E32" s="246" t="n"/>
      <c r="F32" s="246" t="n"/>
      <c r="G32" s="246" t="n"/>
      <c r="H32" s="246" t="n"/>
      <c r="I32" s="246" t="n"/>
      <c r="J32" s="246" t="n"/>
      <c r="K32" s="60" t="inlineStr">
        <is>
          <t>* L5-4 chạy ổn định bình thường.</t>
        </is>
      </c>
      <c r="L32" s="60" t="inlineStr">
        <is>
          <t>* Không có.</t>
        </is>
      </c>
      <c r="M32" s="37" t="inlineStr">
        <is>
          <t>Ca đêm: Chơn.</t>
        </is>
      </c>
    </row>
    <row r="33" ht="131.25" customHeight="1" s="22">
      <c r="A33" s="153" t="n">
        <v>45673</v>
      </c>
      <c r="B33" s="254" t="n">
        <v>140</v>
      </c>
      <c r="C33" s="254" t="n">
        <v>24652</v>
      </c>
      <c r="D33" s="254" t="n">
        <v>141</v>
      </c>
      <c r="E33" s="254" t="n">
        <v>26229</v>
      </c>
      <c r="F33" s="254" t="n"/>
      <c r="G33" s="254" t="n"/>
      <c r="H33" s="254" t="n"/>
      <c r="I33" s="247" t="n"/>
      <c r="J33" s="248" t="n"/>
      <c r="K33" s="60" t="inlineStr">
        <is>
          <t xml:space="preserve">* Băng chuyền đến A3 đang sữa chửa, vẫn tạm dừng khai thác từ 07h15 ngày 28/12/24 (do máy soi tín hiệu chập chờn hay bị tắt nguồn).
* Máy soi số 6 báo lỗi "Xray cannot actived", buộc dừng khai thác.(từ ngày 14/01/2025).
</t>
        </is>
      </c>
      <c r="L33" s="60" t="inlineStr">
        <is>
          <t>* ĐCK(Thắng) kiểm tra motor các đoạn băng chuyền dài gom hành hành lý, khu vực các đảo Checkin.
* ĐCK(Tuấn) kiểm tra các băng chuyền đến, thay bánh xe dẫn hướng số 44,51,171,254 (Ovan đến số 6).
* ĐCK(Tuấn) thay motor ME2-11.
* ĐCN(Toàn) thay đã mới sensor A4-7 (bị gãy chân), siết lại nút nhấn Estop tủ điện băng chuyền đến số 1.</t>
        </is>
      </c>
      <c r="M33" s="37" t="inlineStr">
        <is>
          <t>Ca ngày: K.Lâm.</t>
        </is>
      </c>
    </row>
    <row r="34" customFormat="1" s="86">
      <c r="A34" s="246" t="n"/>
      <c r="B34" s="246" t="n"/>
      <c r="C34" s="246" t="n"/>
      <c r="D34" s="246" t="n"/>
      <c r="E34" s="246" t="n"/>
      <c r="F34" s="246" t="n"/>
      <c r="G34" s="246" t="n"/>
      <c r="H34" s="246" t="n"/>
      <c r="I34" s="246" t="n"/>
      <c r="J34" s="246" t="n"/>
      <c r="K34" s="84" t="n"/>
      <c r="L34" s="84" t="inlineStr">
        <is>
          <t>* ĐCK(Chân) thay rulo chủ động,bạn đạn L5-10</t>
        </is>
      </c>
      <c r="M34" s="85" t="inlineStr">
        <is>
          <t>Ca đêm: Thái</t>
        </is>
      </c>
    </row>
    <row r="35" ht="102" customHeight="1" s="22">
      <c r="A35" s="153" t="n">
        <v>45674</v>
      </c>
      <c r="B35" s="254" t="n">
        <v>146</v>
      </c>
      <c r="C35" s="254" t="n">
        <v>26855</v>
      </c>
      <c r="D35" s="254" t="n">
        <v>145</v>
      </c>
      <c r="E35" s="254" t="n">
        <v>27864</v>
      </c>
      <c r="F35" s="254" t="n">
        <v>28316</v>
      </c>
      <c r="G35" s="254" t="n">
        <v>5069</v>
      </c>
      <c r="H35" s="254" t="n">
        <v>21900</v>
      </c>
      <c r="I35" s="247" t="n">
        <v>125</v>
      </c>
      <c r="J35" s="248" t="n">
        <v>163</v>
      </c>
      <c r="K35" s="60" t="inlineStr">
        <is>
          <t>* Mất BSM lúc 8h20 đến 8h38 có lại, hđbt.
* ĐCK kết hợp ĐĐT thay motor máy soi băng chuyền đến A3 lấy từ máy soi băng chuyến đến A6 (đang hư đầu phát), băng chuyền đến A3 hoạt động bình thường, đã báo kế hoạch bay.</t>
        </is>
      </c>
      <c r="L35" s="60" t="inlineStr">
        <is>
          <t xml:space="preserve">* ĐCN bảo trì tủ điện băng chuyền đi 1,2.
* ĐĐT kiểm tra cửa sập khu vực check in GH, IJ, Kl trong đó GH, IJ tốt, KL đang kiểm tra.
</t>
        </is>
      </c>
      <c r="M35" s="37" t="inlineStr">
        <is>
          <t>Ca ngày: Chơn.</t>
        </is>
      </c>
    </row>
    <row r="36" ht="112.5" customHeight="1" s="22">
      <c r="A36" s="246" t="n"/>
      <c r="B36" s="246" t="n"/>
      <c r="C36" s="246" t="n"/>
      <c r="D36" s="246" t="n"/>
      <c r="E36" s="246" t="n"/>
      <c r="F36" s="246" t="n"/>
      <c r="G36" s="246" t="n"/>
      <c r="H36" s="246" t="n"/>
      <c r="I36" s="246" t="n"/>
      <c r="J36" s="246" t="n"/>
      <c r="K36" s="60" t="inlineStr">
        <is>
          <t>*21h38 nhá điện, dừng hết các line băng chuyền hành lý và sorter. Reset hệ thống, hoạt động bình thường.
* Thực hành huấn luyện nội bộ tháng 01/2025: chuyển đổi hệ thống sang chế độ Backup, vận hành băng chuyền đến số 6 bằng chế độ Auto/Manual theo phiếu công tác số 01-BQT/KTG ngày 09/01/2025 ( Thanh Lâm, K.Lâm, Tú,Quân,Quang, Bảy)</t>
        </is>
      </c>
      <c r="L36" s="60" t="inlineStr">
        <is>
          <t>* 02h15-03h50: ĐCK(Phúc) thay motor bị xì nhớt, băng chuyền gom hành lý đảo F (L2-9)</t>
        </is>
      </c>
      <c r="M36" s="37" t="inlineStr">
        <is>
          <t>Ca đêm: K.Lâm.</t>
        </is>
      </c>
    </row>
    <row r="37" ht="93.75" customHeight="1" s="22">
      <c r="A37" s="153" t="n">
        <v>45675</v>
      </c>
      <c r="B37" s="254" t="n">
        <v>143</v>
      </c>
      <c r="C37" s="254" t="n">
        <v>26022</v>
      </c>
      <c r="D37" s="254" t="n">
        <v>142</v>
      </c>
      <c r="E37" s="254" t="n">
        <v>26649</v>
      </c>
      <c r="F37" s="254" t="n">
        <v>27457</v>
      </c>
      <c r="G37" s="254" t="n">
        <v>4893</v>
      </c>
      <c r="H37" s="254" t="n">
        <v>21924.25</v>
      </c>
      <c r="I37" s="247" t="n">
        <v>154</v>
      </c>
      <c r="J37" s="248" t="n">
        <v>142</v>
      </c>
      <c r="K37" s="60" t="inlineStr">
        <is>
          <t>* Thực hành huấn luyện nội bộ tháng 01/2025: chuyển đổi hệ thống sang chế độ Backup, vận hành băng chuyền đến số 6 bằng chế độ Auto/Manual theo phiếu công tác số 01-BQT/KTG ngày 09/01/2025 ( Quý, Thái, Sang, Nhân, Lai, Khiêm).
* Máy soi A6 bị trượt belt, đội cơ khí đã chỉnh lại, ca sau theo dõi.</t>
        </is>
      </c>
      <c r="L37" s="60" t="inlineStr">
        <is>
          <t>* Đội ĐT+Ck Đã thay thế motor, board điều khiển đầu phát, ổ cứng máy soi băng chuyền đến A6; đã báo TBT cho băng chuyền A6 hoạt động lại. hoạt động bình thường.
* Cần gạt L5B-1 lêch vị trí, ĐCK đã chỉnh lại. Hoạt động bình thường.</t>
        </is>
      </c>
      <c r="M37" s="37" t="inlineStr">
        <is>
          <t>Ca ngày: Thái</t>
        </is>
      </c>
    </row>
    <row r="38" ht="75" customHeight="1" s="22">
      <c r="A38" s="246" t="n"/>
      <c r="B38" s="246" t="n"/>
      <c r="C38" s="246" t="n"/>
      <c r="D38" s="246" t="n"/>
      <c r="E38" s="246" t="n"/>
      <c r="F38" s="246" t="n"/>
      <c r="G38" s="246" t="n"/>
      <c r="H38" s="246" t="n"/>
      <c r="I38" s="246" t="n"/>
      <c r="J38" s="246" t="n"/>
      <c r="K38" s="60" t="inlineStr">
        <is>
          <t>* Thực hành huấn luyện nội bộ tháng 01/2025: chuyển đổi hệ thống sang chế độ Backup, vận hành băng chuyền đến số 6 bằng chế độ Auto/Manual theo phiếu công tác số 01-BQT/KTG ngày 09/01/2025 ( Thông, Chơn, Vũ, Tuyến, Hùng, Hoành).</t>
        </is>
      </c>
      <c r="L38" s="60" t="inlineStr">
        <is>
          <t>* Không có.</t>
        </is>
      </c>
      <c r="M38" s="37" t="inlineStr">
        <is>
          <t>Ca đêm: Chơn.</t>
        </is>
      </c>
    </row>
    <row r="39" ht="93.75" customHeight="1" s="22">
      <c r="A39" s="153" t="n">
        <v>45676</v>
      </c>
      <c r="B39" s="254" t="n">
        <v>145</v>
      </c>
      <c r="C39" s="254" t="n">
        <v>26523</v>
      </c>
      <c r="D39" s="254" t="n">
        <v>146</v>
      </c>
      <c r="E39" s="254" t="n">
        <v>26649</v>
      </c>
      <c r="F39" s="254" t="n">
        <v>27882</v>
      </c>
      <c r="G39" s="254" t="n">
        <v>4672</v>
      </c>
      <c r="H39" s="254" t="n">
        <v>21946</v>
      </c>
      <c r="I39" s="247" t="n">
        <v>169</v>
      </c>
      <c r="J39" s="248" t="n">
        <v>155</v>
      </c>
      <c r="K39" s="60" t="inlineStr">
        <is>
          <t xml:space="preserve">* Đã lưu report 18/1
* Sensor A2-7 bị lỏng đuôi giắc cắm, đã xử lý.
* Đoạn băng chuyền cân quầy D4 (L1-1-14) rulo chủ động bong tróc cao su. ĐCK(Vũ) đã xử lý khai thác tạm, chờ thay thế sau.
</t>
        </is>
      </c>
      <c r="L39" s="60" t="inlineStr">
        <is>
          <t>* Không có.</t>
        </is>
      </c>
      <c r="M39" s="37" t="inlineStr">
        <is>
          <t>Ca ngày: K.Lâm</t>
        </is>
      </c>
    </row>
    <row r="40" ht="56.25" customHeight="1" s="22">
      <c r="A40" s="246" t="n"/>
      <c r="B40" s="246" t="n"/>
      <c r="C40" s="246" t="n"/>
      <c r="D40" s="246" t="n"/>
      <c r="E40" s="246" t="n"/>
      <c r="F40" s="246" t="n"/>
      <c r="G40" s="246" t="n"/>
      <c r="H40" s="246" t="n"/>
      <c r="I40" s="246" t="n"/>
      <c r="J40" s="246" t="n"/>
      <c r="K40" s="60" t="inlineStr">
        <is>
          <t>* Oval đi M2 báo lỗi "soft start up fault" không chạy được, chuyển hệ thống sang chế độ dự phòng (back up) lúc 06h10 để đảm bảo khai thác.</t>
        </is>
      </c>
      <c r="L40" s="60" t="inlineStr">
        <is>
          <t>* Không có.</t>
        </is>
      </c>
      <c r="M40" s="37" t="inlineStr">
        <is>
          <t>Ca đêm: Thái.</t>
        </is>
      </c>
    </row>
    <row r="41" ht="37.5" customFormat="1" customHeight="1" s="44">
      <c r="A41" s="153" t="n">
        <v>45677</v>
      </c>
      <c r="B41" s="254" t="n">
        <v>139</v>
      </c>
      <c r="C41" s="254" t="n">
        <v>25475</v>
      </c>
      <c r="D41" s="254" t="n">
        <v>138</v>
      </c>
      <c r="E41" s="254" t="n">
        <v>26866</v>
      </c>
      <c r="F41" s="254" t="n">
        <v>22302</v>
      </c>
      <c r="G41" s="254" t="n">
        <v>3550</v>
      </c>
      <c r="H41" s="254" t="n">
        <v>21970</v>
      </c>
      <c r="I41" s="247" t="n">
        <v>142</v>
      </c>
      <c r="J41" s="248" t="n">
        <v>150</v>
      </c>
      <c r="K41" s="60" t="inlineStr">
        <is>
          <t>* Thay bánh xe 124.
* Chuyển chạy sorter lúc 8h30, hđbt.</t>
        </is>
      </c>
      <c r="L41" s="60" t="inlineStr">
        <is>
          <t>* ĐCK thay 2 lá tapi oval đi sô 3.
* ĐCK thay bánh xe chịu tải oval 4: 105, 131.</t>
        </is>
      </c>
      <c r="M41" s="29" t="inlineStr">
        <is>
          <t>Ca ngày: Chơn.</t>
        </is>
      </c>
    </row>
    <row r="42" ht="56.25" customFormat="1" customHeight="1" s="44">
      <c r="A42" s="246" t="n"/>
      <c r="B42" s="246" t="n"/>
      <c r="C42" s="246" t="n"/>
      <c r="D42" s="246" t="n"/>
      <c r="E42" s="246" t="n"/>
      <c r="F42" s="246" t="n"/>
      <c r="G42" s="246" t="n"/>
      <c r="H42" s="246" t="n"/>
      <c r="I42" s="246" t="n"/>
      <c r="J42" s="246" t="n"/>
      <c r="K42" s="60" t="inlineStr">
        <is>
          <t>* B/C L2-9(ROW F) belt rách hình chử nhật 
(5cm X 15cm). Đã báo ĐCK.</t>
        </is>
      </c>
      <c r="L42" s="58" t="n"/>
      <c r="M42" s="29" t="inlineStr">
        <is>
          <t>Ca đêm: K.Lâm.</t>
        </is>
      </c>
    </row>
    <row r="43" ht="37.5" customFormat="1" customHeight="1" s="44">
      <c r="A43" s="153" t="n">
        <v>45678</v>
      </c>
      <c r="B43" s="254" t="n">
        <v>146</v>
      </c>
      <c r="C43" s="254" t="n">
        <v>25545</v>
      </c>
      <c r="D43" s="254" t="n">
        <v>148</v>
      </c>
      <c r="E43" s="254" t="n">
        <v>27002</v>
      </c>
      <c r="F43" s="254" t="n">
        <v>27554</v>
      </c>
      <c r="G43" s="254" t="n">
        <v>4883</v>
      </c>
      <c r="H43" s="254" t="n">
        <v>21993.33</v>
      </c>
      <c r="I43" s="247" t="n">
        <v>158</v>
      </c>
      <c r="J43" s="248" t="n">
        <v>142</v>
      </c>
      <c r="K43" s="60" t="inlineStr">
        <is>
          <t>* Không có.</t>
        </is>
      </c>
      <c r="L43" s="60" t="inlineStr">
        <is>
          <t>* Đội điện tử đã khôi phục lại như thiết kế ban đầu cửa chống cháy ở khu vực checkin đảo KL.</t>
        </is>
      </c>
      <c r="M43" s="29" t="inlineStr">
        <is>
          <t>Ca ngày: Thái</t>
        </is>
      </c>
    </row>
    <row r="44" ht="56.25" customFormat="1" customHeight="1" s="44">
      <c r="A44" s="246" t="n"/>
      <c r="B44" s="246" t="n"/>
      <c r="C44" s="246" t="n"/>
      <c r="D44" s="246" t="n"/>
      <c r="E44" s="246" t="n"/>
      <c r="F44" s="246" t="n"/>
      <c r="G44" s="246" t="n"/>
      <c r="H44" s="246" t="n"/>
      <c r="I44" s="246" t="n"/>
      <c r="J44" s="246" t="n"/>
      <c r="K44" s="60" t="inlineStr">
        <is>
          <t>* Không có.</t>
        </is>
      </c>
      <c r="L44" s="58" t="inlineStr">
        <is>
          <t>* Đội CNTT hàn cáp quang ODF.</t>
        </is>
      </c>
      <c r="M44" s="29" t="inlineStr">
        <is>
          <t>Ca đêm: Chơn.</t>
        </is>
      </c>
    </row>
    <row r="45" ht="150" customHeight="1" s="22">
      <c r="A45" s="153" t="n">
        <v>45679</v>
      </c>
      <c r="B45" s="254" t="n">
        <v>148</v>
      </c>
      <c r="C45" s="254" t="n">
        <v>27652</v>
      </c>
      <c r="D45" s="254" t="n">
        <v>144</v>
      </c>
      <c r="E45" s="254" t="n">
        <v>27424</v>
      </c>
      <c r="F45" s="254" t="n">
        <v>30258</v>
      </c>
      <c r="G45" s="254" t="n">
        <v>5416</v>
      </c>
      <c r="H45" s="254" t="n">
        <v>22016.24</v>
      </c>
      <c r="I45" s="247" t="n">
        <v>162</v>
      </c>
      <c r="J45" s="248" t="n">
        <v>138</v>
      </c>
      <c r="K45" s="60" t="inlineStr">
        <is>
          <t>* Đã lưu report 21/1
* 11h5: đoạn băng chuyền cong L3-17 bị trượt tapi, ĐCK(Tuấn) đã xử lý xong lúc 14h30 khai thác lại bình thường.
*14h43 tủ điện đảo Checkin IJ bị lỗi "Sub System Fault" do tín hiệu cửa sập chống cháy (đoạn bc L4-17) báo lỗi lệch vị trí không chạy được băng chuyền. Chuyển chế độ vận hành về Manual để khai thác tạm thời, đội điện tử (Trung) xử lý hết lỗi lúc 15h15. Chuyển lại chế độ vận hành Remote khai thác lại bình thường.</t>
        </is>
      </c>
      <c r="L45" s="60" t="inlineStr">
        <is>
          <t xml:space="preserve">* ĐCK(Tuấn) đóng móc tapi L6-40.
* ĐCN (Toàn) bảo trì tủ điện khu vực Checkin KL.
</t>
        </is>
      </c>
      <c r="M45" s="29" t="inlineStr">
        <is>
          <t>Ca ngày: K.Lâm.</t>
        </is>
      </c>
    </row>
    <row r="46" ht="75" customHeight="1" s="22">
      <c r="A46" s="246" t="n"/>
      <c r="B46" s="246" t="n"/>
      <c r="C46" s="246" t="n"/>
      <c r="D46" s="246" t="n"/>
      <c r="E46" s="246" t="n"/>
      <c r="F46" s="246" t="n"/>
      <c r="G46" s="246" t="n"/>
      <c r="H46" s="246" t="n"/>
      <c r="I46" s="246" t="n"/>
      <c r="J46" s="246" t="n"/>
      <c r="K46" s="60" t="inlineStr">
        <is>
          <t>* Khay 110 mất bánh xe, đã disable.
* Đoạn băng chuyền back up L5A-05 bị bó tapi, ĐCK đang sửa chữa.</t>
        </is>
      </c>
      <c r="L46" s="60" t="inlineStr">
        <is>
          <t>* ĐCN(Công) thay cảm biến, chỉnh lại motor biến tần đoạn băng chuyền L5A-05.
* ĐCK(Công) thay, đóng móc tapi mới L5-25A.
* ĐCK(Việt) thay, ép tapi mới L1-9.</t>
        </is>
      </c>
      <c r="M46" s="29" t="inlineStr">
        <is>
          <t>Ca đêm: Nhân</t>
        </is>
      </c>
    </row>
    <row r="47" ht="65.25" customHeight="1" s="22">
      <c r="A47" s="153" t="n">
        <v>45680</v>
      </c>
      <c r="B47" s="254" t="n">
        <v>147</v>
      </c>
      <c r="C47" s="254" t="n">
        <v>28144</v>
      </c>
      <c r="D47" s="254" t="n">
        <v>147</v>
      </c>
      <c r="E47" s="254" t="n">
        <v>26165</v>
      </c>
      <c r="F47" s="254" t="n">
        <v>30905</v>
      </c>
      <c r="G47" s="254" t="n">
        <v>5404</v>
      </c>
      <c r="H47" s="254" t="n">
        <v>22027</v>
      </c>
      <c r="I47" s="247" t="n">
        <v>155</v>
      </c>
      <c r="J47" s="248" t="n">
        <v>139</v>
      </c>
      <c r="K47" s="60" t="inlineStr">
        <is>
          <t>* Khay 124 gãy chân. Disable. Đã báo ĐCK.
* Khay 138 thường xuyên báo mất khay. Disable. Đã báo ĐCK.</t>
        </is>
      </c>
      <c r="L47" s="58" t="inlineStr">
        <is>
          <t>* CK thay tapi L5A-05. HĐBT</t>
        </is>
      </c>
      <c r="M47" s="37" t="inlineStr">
        <is>
          <t>Ca ngày: Quân</t>
        </is>
      </c>
    </row>
    <row r="48" ht="37.5" customHeight="1" s="22">
      <c r="A48" s="246" t="n"/>
      <c r="B48" s="246" t="n"/>
      <c r="C48" s="246" t="n"/>
      <c r="D48" s="246" t="n"/>
      <c r="E48" s="246" t="n"/>
      <c r="F48" s="246" t="n"/>
      <c r="G48" s="246" t="n"/>
      <c r="H48" s="246" t="n"/>
      <c r="I48" s="246" t="n"/>
      <c r="J48" s="246" t="n"/>
      <c r="K48" s="58" t="inlineStr">
        <is>
          <t>* Không có.</t>
        </is>
      </c>
      <c r="L48" s="60" t="inlineStr">
        <is>
          <t>* ĐCK (Tâm)thay mới, ép tapi mới L2-9, có tiếng 
kêu dưới sàn khi chạy, đã báo ĐCK(Vũ) ktra lại.</t>
        </is>
      </c>
      <c r="M48" s="37" t="inlineStr">
        <is>
          <t>Ca đêm: K.Lâm.</t>
        </is>
      </c>
    </row>
    <row r="49" ht="37.5" customHeight="1" s="22">
      <c r="A49" s="153" t="n">
        <v>45681</v>
      </c>
      <c r="B49" s="254" t="n">
        <v>147</v>
      </c>
      <c r="C49" s="254" t="n">
        <v>29601</v>
      </c>
      <c r="D49" s="254" t="n">
        <v>148</v>
      </c>
      <c r="E49" s="254" t="n">
        <v>26588</v>
      </c>
      <c r="F49" s="254" t="n">
        <v>32009</v>
      </c>
      <c r="G49" s="254" t="n">
        <v>5146</v>
      </c>
      <c r="H49" s="254" t="n">
        <v>22064</v>
      </c>
      <c r="I49" s="247" t="n">
        <v>156</v>
      </c>
      <c r="J49" s="248" t="n">
        <v>136</v>
      </c>
      <c r="K49" s="58" t="inlineStr">
        <is>
          <t>* Không có.</t>
        </is>
      </c>
      <c r="L49" s="60" t="inlineStr">
        <is>
          <t>* ĐCK(Công) đã kiểm tra L2-9 và báo lại do tapi mới nên kêu.</t>
        </is>
      </c>
      <c r="M49" s="37" t="inlineStr">
        <is>
          <t>Ca ngày: Thái</t>
        </is>
      </c>
    </row>
    <row r="50" ht="37.5" customHeight="1" s="22">
      <c r="A50" s="246" t="n"/>
      <c r="B50" s="246" t="n"/>
      <c r="C50" s="246" t="n"/>
      <c r="D50" s="246" t="n"/>
      <c r="E50" s="246" t="n"/>
      <c r="F50" s="246" t="n"/>
      <c r="G50" s="246" t="n"/>
      <c r="H50" s="246" t="n"/>
      <c r="I50" s="246" t="n"/>
      <c r="J50" s="246" t="n"/>
      <c r="K50" s="60" t="inlineStr">
        <is>
          <t>* Máy scan cầm tay no read 2 chập chờn, nhờ ca
sau báo CNTT.</t>
        </is>
      </c>
      <c r="L50" s="58" t="inlineStr">
        <is>
          <t>* Không có.</t>
        </is>
      </c>
      <c r="M50" s="37" t="inlineStr">
        <is>
          <t>Ca đêm: Chơn.</t>
        </is>
      </c>
    </row>
    <row r="51" ht="37.5" customHeight="1" s="22">
      <c r="A51" s="153" t="n">
        <v>45682</v>
      </c>
      <c r="B51" s="254" t="n">
        <v>144</v>
      </c>
      <c r="C51" s="254" t="n">
        <v>29438</v>
      </c>
      <c r="D51" s="254" t="n">
        <v>143</v>
      </c>
      <c r="E51" s="254" t="n">
        <v>26357</v>
      </c>
      <c r="F51" s="254" t="n">
        <v>31160</v>
      </c>
      <c r="G51" s="254" t="n">
        <v>5728</v>
      </c>
      <c r="H51" s="254" t="n">
        <v>22087</v>
      </c>
      <c r="I51" s="247" t="n">
        <v>144</v>
      </c>
      <c r="J51" s="248" t="n">
        <v>140</v>
      </c>
      <c r="K51" s="58" t="inlineStr">
        <is>
          <t>* Không có.</t>
        </is>
      </c>
      <c r="L51" s="60" t="inlineStr">
        <is>
          <t>*ĐCN bảo trì tủ điện khu vực Checkin AB 
*ĐCK ( Tuấn Anh) chỉnh lại sensor cần gạt L6B01</t>
        </is>
      </c>
      <c r="M51" s="37" t="inlineStr">
        <is>
          <t>Ca ngày: Bình</t>
        </is>
      </c>
    </row>
    <row r="52">
      <c r="A52" s="246" t="n"/>
      <c r="B52" s="246" t="n"/>
      <c r="C52" s="246" t="n"/>
      <c r="D52" s="246" t="n"/>
      <c r="E52" s="246" t="n"/>
      <c r="F52" s="246" t="n"/>
      <c r="G52" s="246" t="n"/>
      <c r="H52" s="246" t="n"/>
      <c r="I52" s="246" t="n"/>
      <c r="J52" s="246" t="n"/>
      <c r="K52" s="58" t="inlineStr">
        <is>
          <t>* Không có.</t>
        </is>
      </c>
      <c r="L52" s="58" t="inlineStr">
        <is>
          <t>* Không có.</t>
        </is>
      </c>
      <c r="M52" s="37" t="inlineStr">
        <is>
          <t>Ca đêm:  Thái</t>
        </is>
      </c>
    </row>
    <row r="53">
      <c r="A53" s="153" t="n">
        <v>45683</v>
      </c>
      <c r="B53" s="151" t="n">
        <v>148</v>
      </c>
      <c r="C53" s="151" t="n">
        <v>28473</v>
      </c>
      <c r="D53" s="151" t="n">
        <v>147</v>
      </c>
      <c r="E53" s="151" t="n">
        <v>27916</v>
      </c>
      <c r="F53" s="151" t="n">
        <v>31008</v>
      </c>
      <c r="G53" s="151" t="n">
        <v>5755</v>
      </c>
      <c r="H53" s="151" t="n">
        <v>22110</v>
      </c>
      <c r="I53" s="142" t="n">
        <v>155</v>
      </c>
      <c r="J53" s="143" t="n">
        <v>139</v>
      </c>
      <c r="K53" s="58" t="inlineStr">
        <is>
          <t>* Không có.</t>
        </is>
      </c>
      <c r="L53" s="58" t="inlineStr">
        <is>
          <t>* Không có.</t>
        </is>
      </c>
      <c r="M53" s="20" t="inlineStr">
        <is>
          <t>Ca ngày: Hùng</t>
        </is>
      </c>
    </row>
    <row r="54">
      <c r="A54" s="246" t="n"/>
      <c r="B54" s="246" t="n"/>
      <c r="C54" s="246" t="n"/>
      <c r="D54" s="246" t="n"/>
      <c r="E54" s="246" t="n"/>
      <c r="F54" s="246" t="n"/>
      <c r="G54" s="246" t="n"/>
      <c r="H54" s="246" t="n"/>
      <c r="I54" s="246" t="n"/>
      <c r="J54" s="246" t="n"/>
      <c r="K54" s="58" t="inlineStr">
        <is>
          <t>* Không có.</t>
        </is>
      </c>
      <c r="L54" s="58" t="inlineStr">
        <is>
          <t>* Không có.</t>
        </is>
      </c>
      <c r="M54" s="20" t="inlineStr">
        <is>
          <t>Ca đêm: K.Lâm.</t>
        </is>
      </c>
    </row>
    <row r="55">
      <c r="A55" s="153" t="n">
        <v>45684</v>
      </c>
      <c r="B55" s="151" t="n">
        <v>141</v>
      </c>
      <c r="C55" s="151" t="n">
        <v>25924</v>
      </c>
      <c r="D55" s="151" t="n">
        <v>140</v>
      </c>
      <c r="E55" s="151" t="n">
        <v>26247</v>
      </c>
      <c r="F55" s="151" t="n">
        <v>23230</v>
      </c>
      <c r="G55" s="151" t="n">
        <v>4044</v>
      </c>
      <c r="H55" s="151" t="n">
        <v>22135</v>
      </c>
      <c r="I55" s="142" t="n">
        <v>155</v>
      </c>
      <c r="J55" s="143" t="n">
        <v>135</v>
      </c>
      <c r="K55" s="58" t="inlineStr">
        <is>
          <t>* Không có.</t>
        </is>
      </c>
      <c r="L55" s="58" t="inlineStr">
        <is>
          <t>* Không có.</t>
        </is>
      </c>
      <c r="M55" s="20" t="inlineStr">
        <is>
          <t>Ca ngày: Nhân</t>
        </is>
      </c>
    </row>
    <row r="56">
      <c r="A56" s="246" t="n"/>
      <c r="B56" s="246" t="n"/>
      <c r="C56" s="246" t="n"/>
      <c r="D56" s="246" t="n"/>
      <c r="E56" s="246" t="n"/>
      <c r="F56" s="246" t="n"/>
      <c r="G56" s="246" t="n"/>
      <c r="H56" s="246" t="n"/>
      <c r="I56" s="246" t="n"/>
      <c r="J56" s="246" t="n"/>
      <c r="K56" s="58" t="inlineStr">
        <is>
          <t>* Quầy cân C6 lệch kí, đã calib hdbt.</t>
        </is>
      </c>
      <c r="L56" s="58" t="inlineStr">
        <is>
          <t>* Không có.</t>
        </is>
      </c>
      <c r="M56" s="37" t="inlineStr">
        <is>
          <t>Ca đêm: Chơn.</t>
        </is>
      </c>
    </row>
    <row r="57" ht="75" customHeight="1" s="22">
      <c r="A57" s="153" t="n">
        <v>45685</v>
      </c>
      <c r="B57" s="151" t="n">
        <v>137</v>
      </c>
      <c r="C57" s="151" t="n">
        <v>22349</v>
      </c>
      <c r="D57" s="151" t="n">
        <v>135</v>
      </c>
      <c r="E57" s="151" t="n">
        <v>25634</v>
      </c>
      <c r="F57" s="151" t="n">
        <v>20924</v>
      </c>
      <c r="G57" s="151" t="n">
        <v>4015</v>
      </c>
      <c r="H57" s="151" t="n">
        <v>22158</v>
      </c>
      <c r="I57" s="142" t="n">
        <v>150</v>
      </c>
      <c r="J57" s="143" t="n">
        <v>143</v>
      </c>
      <c r="K57" s="60" t="inlineStr">
        <is>
          <t>* 08h15 khu vực trả hành lý băng chuyền đến số 8 có nước chảy từ trên sàn bê tông. ĐHKK (Chi) đã kiểm tra do AHU trong phòng máy lầu 1 bị chảy nước, đã xử lý tạm.
* Đã lưu Report 27/01.</t>
        </is>
      </c>
      <c r="L57" s="58" t="inlineStr">
        <is>
          <t>* Không có.</t>
        </is>
      </c>
      <c r="M57" s="20" t="inlineStr">
        <is>
          <t>Ca ngày: K.Lâm</t>
        </is>
      </c>
    </row>
    <row r="58">
      <c r="A58" s="246" t="n"/>
      <c r="B58" s="246" t="n"/>
      <c r="C58" s="246" t="n"/>
      <c r="D58" s="246" t="n"/>
      <c r="E58" s="246" t="n"/>
      <c r="F58" s="246" t="n"/>
      <c r="G58" s="246" t="n"/>
      <c r="H58" s="246" t="n"/>
      <c r="I58" s="246" t="n"/>
      <c r="J58" s="246" t="n"/>
      <c r="K58" s="58" t="inlineStr">
        <is>
          <t>* Không có.</t>
        </is>
      </c>
      <c r="L58" s="58" t="inlineStr">
        <is>
          <t>* Không có.</t>
        </is>
      </c>
      <c r="M58" s="37" t="inlineStr">
        <is>
          <t>Ca đêm: Thái</t>
        </is>
      </c>
    </row>
    <row r="59">
      <c r="A59" s="153" t="n">
        <v>45686</v>
      </c>
      <c r="B59" s="151" t="n">
        <v>143</v>
      </c>
      <c r="C59" s="151" t="n">
        <v>24187</v>
      </c>
      <c r="D59" s="151" t="n">
        <v>140</v>
      </c>
      <c r="E59" s="151" t="n">
        <v>23863</v>
      </c>
      <c r="F59" s="151" t="n">
        <v>22514</v>
      </c>
      <c r="G59" s="151" t="n">
        <v>4011</v>
      </c>
      <c r="H59" s="151" t="n">
        <v>22182</v>
      </c>
      <c r="I59" s="142" t="n">
        <v>156</v>
      </c>
      <c r="J59" s="143" t="n">
        <v>137</v>
      </c>
      <c r="K59" s="60" t="inlineStr">
        <is>
          <t>* Không có.</t>
        </is>
      </c>
      <c r="L59" s="58" t="inlineStr">
        <is>
          <t>* Không có.</t>
        </is>
      </c>
      <c r="M59" s="20" t="inlineStr">
        <is>
          <t>Ca ngày: Hùng</t>
        </is>
      </c>
    </row>
    <row r="60">
      <c r="A60" s="246" t="n"/>
      <c r="B60" s="246" t="n"/>
      <c r="C60" s="246" t="n"/>
      <c r="D60" s="246" t="n"/>
      <c r="E60" s="246" t="n"/>
      <c r="F60" s="246" t="n"/>
      <c r="G60" s="246" t="n"/>
      <c r="H60" s="246" t="n"/>
      <c r="I60" s="246" t="n"/>
      <c r="J60" s="246" t="n"/>
      <c r="K60" s="58" t="inlineStr">
        <is>
          <t>* Không có.</t>
        </is>
      </c>
      <c r="L60" s="58" t="inlineStr">
        <is>
          <t>* Không có.</t>
        </is>
      </c>
      <c r="M60" s="37" t="inlineStr">
        <is>
          <t>Ca đêm: Tuyến</t>
        </is>
      </c>
    </row>
    <row r="61">
      <c r="A61" s="153" t="n">
        <v>45687</v>
      </c>
      <c r="B61" s="151" t="n">
        <v>141</v>
      </c>
      <c r="C61" s="151" t="n">
        <v>24657</v>
      </c>
      <c r="D61" s="151" t="n">
        <v>140</v>
      </c>
      <c r="E61" s="151" t="n">
        <v>24016</v>
      </c>
      <c r="F61" s="151" t="n">
        <v>24117</v>
      </c>
      <c r="G61" s="151" t="n">
        <v>4227</v>
      </c>
      <c r="H61" s="151" t="n">
        <v>22206</v>
      </c>
      <c r="I61" s="142" t="n">
        <v>152</v>
      </c>
      <c r="J61" s="143" t="n">
        <v>144</v>
      </c>
      <c r="K61" s="60" t="inlineStr">
        <is>
          <t>* Không có.</t>
        </is>
      </c>
      <c r="L61" s="58" t="inlineStr">
        <is>
          <t>* Không có.</t>
        </is>
      </c>
      <c r="M61" s="20" t="inlineStr">
        <is>
          <t>Ca ngày: Thái</t>
        </is>
      </c>
    </row>
    <row r="62">
      <c r="A62" s="246" t="n"/>
      <c r="B62" s="246" t="n"/>
      <c r="C62" s="246" t="n"/>
      <c r="D62" s="246" t="n"/>
      <c r="E62" s="246" t="n"/>
      <c r="F62" s="246" t="n"/>
      <c r="G62" s="246" t="n"/>
      <c r="H62" s="246" t="n"/>
      <c r="I62" s="246" t="n"/>
      <c r="J62" s="246" t="n"/>
      <c r="K62" s="60" t="inlineStr">
        <is>
          <t>* Không có.</t>
        </is>
      </c>
      <c r="L62" s="58" t="inlineStr">
        <is>
          <t>* Không có.</t>
        </is>
      </c>
      <c r="M62" s="37" t="inlineStr">
        <is>
          <t>Ca đêm: Chơn.</t>
        </is>
      </c>
    </row>
    <row r="63" ht="93.75" customHeight="1" s="22">
      <c r="A63" s="153" t="n">
        <v>45688</v>
      </c>
      <c r="B63" s="151" t="n">
        <v>144</v>
      </c>
      <c r="C63" s="151" t="n">
        <v>26331</v>
      </c>
      <c r="D63" s="151" t="n">
        <v>143</v>
      </c>
      <c r="E63" s="151" t="n">
        <v>24950</v>
      </c>
      <c r="F63" s="151" t="n">
        <v>28183</v>
      </c>
      <c r="G63" s="151" t="n">
        <v>5207</v>
      </c>
      <c r="H63" s="151" t="n">
        <v>22229</v>
      </c>
      <c r="I63" s="142" t="n">
        <v>154</v>
      </c>
      <c r="J63" s="143" t="n">
        <v>145</v>
      </c>
      <c r="K63" s="60" t="inlineStr">
        <is>
          <t>* Băng chuyền đến số 3 (A2) máy soi báo lỗi không soi được, đã báo HQ, AOCC, TBT, tạm ngừng khai thác.
* 15h41 đội ĐT báo đã khắc phục máy soi băng chuyền đến số 3 (A2), đội ĐT báo cho HQ, AOCC kiểm tra, hoạt động bình thường, ca sau theo dõi tiếp.</t>
        </is>
      </c>
      <c r="L63" s="58" t="inlineStr">
        <is>
          <t>* Không có.</t>
        </is>
      </c>
      <c r="M63" s="20" t="inlineStr">
        <is>
          <t>Ca ngày: Nhân.</t>
        </is>
      </c>
    </row>
    <row r="64">
      <c r="A64" s="246" t="n"/>
      <c r="B64" s="246" t="n"/>
      <c r="C64" s="246" t="n"/>
      <c r="D64" s="246" t="n"/>
      <c r="E64" s="246" t="n"/>
      <c r="F64" s="246" t="n"/>
      <c r="G64" s="246" t="n"/>
      <c r="H64" s="246" t="n"/>
      <c r="I64" s="246" t="n"/>
      <c r="J64" s="246" t="n"/>
      <c r="K64" s="60" t="inlineStr">
        <is>
          <t>* Không có.</t>
        </is>
      </c>
      <c r="L64" s="58" t="inlineStr">
        <is>
          <t>* Không có.</t>
        </is>
      </c>
      <c r="M64" s="37" t="inlineStr">
        <is>
          <t>Ca đêm: Thái.</t>
        </is>
      </c>
    </row>
    <row r="65">
      <c r="A65" s="153" t="n">
        <v>45689</v>
      </c>
      <c r="B65" s="151" t="n">
        <v>143</v>
      </c>
      <c r="C65" s="151" t="n">
        <v>24934</v>
      </c>
      <c r="D65" s="151" t="n">
        <v>142</v>
      </c>
      <c r="E65" s="151" t="n">
        <v>24859</v>
      </c>
      <c r="F65" s="151" t="n">
        <v>27258</v>
      </c>
      <c r="G65" s="151" t="n">
        <v>4792</v>
      </c>
      <c r="H65" s="151" t="n">
        <v>22253</v>
      </c>
      <c r="I65" s="142" t="n">
        <v>152</v>
      </c>
      <c r="J65" s="143" t="n">
        <v>132</v>
      </c>
      <c r="K65" s="60" t="inlineStr">
        <is>
          <t>* Không có.</t>
        </is>
      </c>
      <c r="L65" s="58" t="inlineStr">
        <is>
          <t>* Không có.</t>
        </is>
      </c>
      <c r="M65" s="20" t="inlineStr">
        <is>
          <t>Ca ngày: Chơn.</t>
        </is>
      </c>
    </row>
    <row r="66" ht="37.5" customHeight="1" s="22">
      <c r="A66" s="246" t="n"/>
      <c r="B66" s="246" t="n"/>
      <c r="C66" s="246" t="n"/>
      <c r="D66" s="246" t="n"/>
      <c r="E66" s="246" t="n"/>
      <c r="F66" s="246" t="n"/>
      <c r="G66" s="246" t="n"/>
      <c r="H66" s="246" t="n"/>
      <c r="I66" s="246" t="n"/>
      <c r="J66" s="246" t="n"/>
      <c r="K66" s="60" t="inlineStr">
        <is>
          <t>* L6-40, L6-A02 có dấu hiệu trùng tapi. Đã báo  
ĐCK (Tuấn Anh) ca sáng kiểm tra lại.</t>
        </is>
      </c>
      <c r="L66" s="58" t="inlineStr">
        <is>
          <t>* Không có.</t>
        </is>
      </c>
      <c r="M66" s="20" t="inlineStr">
        <is>
          <t>Ca đêm: K.Lâm.</t>
        </is>
      </c>
    </row>
    <row r="67" ht="37.5" customHeight="1" s="22">
      <c r="A67" s="153" t="n">
        <v>45690</v>
      </c>
      <c r="B67" s="151" t="n">
        <v>145</v>
      </c>
      <c r="C67" s="151" t="n">
        <v>25787</v>
      </c>
      <c r="D67" s="151" t="n">
        <v>147</v>
      </c>
      <c r="E67" s="151" t="n">
        <v>27441</v>
      </c>
      <c r="F67" s="151" t="n">
        <v>28038</v>
      </c>
      <c r="G67" s="151" t="n">
        <v>4592</v>
      </c>
      <c r="H67" s="151" t="n">
        <v>22278</v>
      </c>
      <c r="I67" s="142" t="n">
        <v>153</v>
      </c>
      <c r="J67" s="143" t="n">
        <v>144</v>
      </c>
      <c r="K67" s="60" t="inlineStr">
        <is>
          <t>* L2-15 có hiện tượng trượt belt, theo dõi thêm.</t>
        </is>
      </c>
      <c r="L67" s="60" t="inlineStr">
        <is>
          <t>* Đội CK ( An) + ĐCN ( Tuấn)  đã thay mới 
motor đoạn A2-4.</t>
        </is>
      </c>
      <c r="M67" s="20" t="inlineStr">
        <is>
          <t>Ca ngày: Thái</t>
        </is>
      </c>
    </row>
    <row r="68">
      <c r="A68" s="246" t="n"/>
      <c r="B68" s="246" t="n"/>
      <c r="C68" s="246" t="n"/>
      <c r="D68" s="246" t="n"/>
      <c r="E68" s="246" t="n"/>
      <c r="F68" s="246" t="n"/>
      <c r="G68" s="246" t="n"/>
      <c r="H68" s="246" t="n"/>
      <c r="I68" s="246" t="n"/>
      <c r="J68" s="246" t="n"/>
      <c r="K68" s="60" t="inlineStr">
        <is>
          <t>* Không có.</t>
        </is>
      </c>
      <c r="L68" s="58" t="inlineStr">
        <is>
          <t>* Không có.</t>
        </is>
      </c>
      <c r="M68" s="20" t="inlineStr">
        <is>
          <t>Ca đêm: Chơn.</t>
        </is>
      </c>
    </row>
    <row r="69">
      <c r="A69" s="153" t="n">
        <v>45691</v>
      </c>
      <c r="B69" s="151" t="n">
        <v>140</v>
      </c>
      <c r="C69" s="151" t="n">
        <v>25026</v>
      </c>
      <c r="D69" s="151" t="n">
        <v>141</v>
      </c>
      <c r="E69" s="151" t="n">
        <v>26007</v>
      </c>
      <c r="F69" s="151" t="n">
        <v>26310</v>
      </c>
      <c r="G69" s="151" t="n">
        <v>4498</v>
      </c>
      <c r="H69" s="151" t="n">
        <v>22300</v>
      </c>
      <c r="I69" s="142" t="n">
        <v>160</v>
      </c>
      <c r="J69" s="143" t="n">
        <v>135</v>
      </c>
      <c r="K69" s="60" t="inlineStr">
        <is>
          <t>* Đã lưu Report 2/2.</t>
        </is>
      </c>
      <c r="L69" s="58" t="inlineStr">
        <is>
          <t>* Không có.</t>
        </is>
      </c>
      <c r="M69" s="20" t="inlineStr">
        <is>
          <t>Ca ngày: K.Lâm</t>
        </is>
      </c>
    </row>
    <row r="70" ht="131.25" customHeight="1" s="22">
      <c r="A70" s="246" t="n"/>
      <c r="B70" s="246" t="n"/>
      <c r="C70" s="246" t="n"/>
      <c r="D70" s="246" t="n"/>
      <c r="E70" s="246" t="n"/>
      <c r="F70" s="246" t="n"/>
      <c r="G70" s="246" t="n"/>
      <c r="H70" s="246" t="n"/>
      <c r="I70" s="246" t="n"/>
      <c r="J70" s="246" t="n"/>
      <c r="K70" s="60" t="inlineStr">
        <is>
          <t>* Scanner NR2 bị chập chờn, đã thay dây dự phòng, nhờ ca sau kiểm tra lại dây cũ giúp.
* Cân G3 màn hình phụ bị lỗi hiển thị chập chờn , đã gọi Vũ CK.
* L1-32 bị trôi hành lý( đã gửi clip) thường xuyên gây kẹt induction 1.Chưa có phương án xử lý.
* L6B-01 bị kẹt belt thường xuyên. Đã báo Công CK kiểm tra nhưng chưa có phương án xử lý.</t>
        </is>
      </c>
      <c r="L70" s="60" t="inlineStr">
        <is>
          <t>* Băng chuyền đảo F bị trượt khi hành lý nhiều
 do băng tải còn mới, theo dõi sau.</t>
        </is>
      </c>
      <c r="M70" s="20" t="inlineStr">
        <is>
          <t>Ca đêm: Thái</t>
        </is>
      </c>
    </row>
    <row r="71" ht="168.75" customHeight="1" s="22">
      <c r="A71" s="153" t="n">
        <v>45692</v>
      </c>
      <c r="B71" s="151" t="n">
        <v>144</v>
      </c>
      <c r="C71" s="151" t="n">
        <v>24803</v>
      </c>
      <c r="D71" s="151" t="n">
        <v>148</v>
      </c>
      <c r="E71" s="151" t="n">
        <v>26658</v>
      </c>
      <c r="F71" s="151" t="n">
        <v>29042</v>
      </c>
      <c r="G71" s="151" t="n">
        <v>4973</v>
      </c>
      <c r="H71" s="151" t="n">
        <v>22324</v>
      </c>
      <c r="I71" s="142" t="n">
        <v>158</v>
      </c>
      <c r="J71" s="143" t="n">
        <v>137</v>
      </c>
      <c r="K71" s="60" t="n"/>
      <c r="L71" s="60" t="inlineStr">
        <is>
          <t xml:space="preserve">* ĐCK bảo trì, vệ sinh L6.
* ĐCK (Bình, Phúc, Trung) thay motor của đoạn băng chuyền L3B-110 sang đoạn băng chuyền L1-37 và ngược lại, hoạt động bình thường, ca sau theo dõi tiếp. Thay màn hình phụ cho cân G3, hoạt động bình thường. 
* ĐCK (Vũ) thay lá, khung tapi số 229 oval đi số 2.
* ĐCK (Bình, Phúc) thay phốt motor băng chuyền L1-42, L2-39
* L6B-01 ĐCK đã kiểm tra chỉnh lại. </t>
        </is>
      </c>
      <c r="M71" s="20" t="inlineStr">
        <is>
          <t>Ca ngày: Chơn.</t>
        </is>
      </c>
    </row>
    <row r="72" ht="37.5" customHeight="1" s="22">
      <c r="A72" s="246" t="n"/>
      <c r="B72" s="246" t="n"/>
      <c r="C72" s="246" t="n"/>
      <c r="D72" s="246" t="n"/>
      <c r="E72" s="246" t="n"/>
      <c r="F72" s="246" t="n"/>
      <c r="G72" s="246" t="n"/>
      <c r="H72" s="246" t="n"/>
      <c r="I72" s="246" t="n"/>
      <c r="J72" s="246" t="n"/>
      <c r="K72" s="60" t="inlineStr">
        <is>
          <t>*A1-4 báo lỗi Inverter Fault nhiều lần =&gt; ca sau
 báo bảo trì giúp.</t>
        </is>
      </c>
      <c r="L72" s="58" t="n"/>
      <c r="M72" s="20" t="inlineStr">
        <is>
          <t>Ca đêm: Vũ</t>
        </is>
      </c>
    </row>
    <row r="73" ht="56.25" customHeight="1" s="22">
      <c r="A73" s="153" t="n">
        <v>45693</v>
      </c>
      <c r="B73" s="151" t="n">
        <v>149</v>
      </c>
      <c r="C73" s="151" t="n">
        <v>25423</v>
      </c>
      <c r="D73" s="151" t="n">
        <v>143</v>
      </c>
      <c r="E73" s="151" t="n">
        <v>25607</v>
      </c>
      <c r="F73" s="151" t="n">
        <v>30047</v>
      </c>
      <c r="G73" s="151" t="n">
        <v>4753</v>
      </c>
      <c r="H73" s="151" t="n">
        <v>22348</v>
      </c>
      <c r="I73" s="142" t="n">
        <v>147</v>
      </c>
      <c r="J73" s="143" t="n">
        <v>140</v>
      </c>
      <c r="K73" s="60" t="inlineStr">
        <is>
          <t>* L6B-01 bị kẹt belt thường xuyên. ĐCK kiểm tra   và tăng belt, ca sau theo dõi.</t>
        </is>
      </c>
      <c r="L73" s="60" t="inlineStr">
        <is>
          <t xml:space="preserve">* ĐCN bảo trì tủ checkin line 1,2
* ĐCK kiểm tra vệ sinh line 6,1.
</t>
        </is>
      </c>
      <c r="M73" s="20" t="inlineStr">
        <is>
          <t>Ca ngày: Thái</t>
        </is>
      </c>
    </row>
    <row r="74">
      <c r="A74" s="246" t="n"/>
      <c r="B74" s="246" t="n"/>
      <c r="C74" s="246" t="n"/>
      <c r="D74" s="246" t="n"/>
      <c r="E74" s="246" t="n"/>
      <c r="F74" s="246" t="n"/>
      <c r="G74" s="246" t="n"/>
      <c r="H74" s="246" t="n"/>
      <c r="I74" s="246" t="n"/>
      <c r="J74" s="246" t="n"/>
      <c r="K74" s="58" t="inlineStr">
        <is>
          <t>* Không có.</t>
        </is>
      </c>
      <c r="L74" s="58" t="inlineStr">
        <is>
          <t>* Không có.</t>
        </is>
      </c>
      <c r="M74" s="20" t="inlineStr">
        <is>
          <t>Ca đêm: Hùng</t>
        </is>
      </c>
    </row>
    <row r="75">
      <c r="A75" s="153" t="n">
        <v>45694</v>
      </c>
      <c r="B75" s="151" t="n">
        <v>142</v>
      </c>
      <c r="C75" s="151" t="n">
        <v>24835</v>
      </c>
      <c r="D75" s="151" t="n">
        <v>142</v>
      </c>
      <c r="E75" s="151" t="n">
        <v>24985</v>
      </c>
      <c r="F75" s="151" t="n">
        <v>28709</v>
      </c>
      <c r="G75" s="151" t="n">
        <v>4989</v>
      </c>
      <c r="H75" s="151" t="n">
        <v>22372</v>
      </c>
      <c r="I75" s="142" t="n">
        <v>160</v>
      </c>
      <c r="J75" s="143" t="n">
        <v>135</v>
      </c>
      <c r="K75" s="58" t="inlineStr">
        <is>
          <t>* Không có.</t>
        </is>
      </c>
      <c r="L75" s="60" t="inlineStr">
        <is>
          <t>* ĐCK(Hoàng) thay puly Ovan đến số 1.</t>
        </is>
      </c>
      <c r="M75" s="20" t="inlineStr">
        <is>
          <t>Ca ngày: K.Lâm</t>
        </is>
      </c>
    </row>
    <row r="76">
      <c r="A76" s="246" t="n"/>
      <c r="B76" s="246" t="n"/>
      <c r="C76" s="246" t="n"/>
      <c r="D76" s="246" t="n"/>
      <c r="E76" s="246" t="n"/>
      <c r="F76" s="246" t="n"/>
      <c r="G76" s="246" t="n"/>
      <c r="H76" s="246" t="n"/>
      <c r="I76" s="246" t="n"/>
      <c r="J76" s="246" t="n"/>
      <c r="K76" s="58" t="inlineStr">
        <is>
          <t>* Không có.</t>
        </is>
      </c>
      <c r="L76" s="60" t="inlineStr">
        <is>
          <t>* ĐCK( Việt) thay tapi băng chuyền L3-17</t>
        </is>
      </c>
      <c r="M76" s="20" t="inlineStr">
        <is>
          <t>Ca đêm: Thái</t>
        </is>
      </c>
    </row>
    <row r="77">
      <c r="A77" s="153" t="n">
        <v>45695</v>
      </c>
      <c r="B77" s="151" t="n">
        <v>145</v>
      </c>
      <c r="C77" s="151" t="n">
        <v>25338</v>
      </c>
      <c r="D77" s="151" t="n">
        <v>144</v>
      </c>
      <c r="E77" s="151" t="n">
        <v>25496</v>
      </c>
      <c r="F77" s="151" t="n">
        <v>30957</v>
      </c>
      <c r="G77" s="151" t="n">
        <v>5394</v>
      </c>
      <c r="H77" s="151" t="n">
        <v>22395</v>
      </c>
      <c r="I77" s="142" t="n">
        <v>152</v>
      </c>
      <c r="J77" s="143" t="n">
        <v>138</v>
      </c>
      <c r="K77" s="58" t="inlineStr">
        <is>
          <t>* Không có.</t>
        </is>
      </c>
      <c r="L77" s="58" t="inlineStr">
        <is>
          <t>* ĐCK vệ sinh gom rác khu vực băng chuyền.</t>
        </is>
      </c>
      <c r="M77" s="20" t="inlineStr">
        <is>
          <t>Ca ngày: Chơn.</t>
        </is>
      </c>
    </row>
    <row r="78">
      <c r="A78" s="246" t="n"/>
      <c r="B78" s="246" t="n"/>
      <c r="C78" s="246" t="n"/>
      <c r="D78" s="246" t="n"/>
      <c r="E78" s="246" t="n"/>
      <c r="F78" s="246" t="n"/>
      <c r="G78" s="246" t="n"/>
      <c r="H78" s="246" t="n"/>
      <c r="I78" s="246" t="n"/>
      <c r="J78" s="246" t="n"/>
      <c r="K78" s="58" t="inlineStr">
        <is>
          <t>* Không có.</t>
        </is>
      </c>
      <c r="L78" s="58" t="inlineStr">
        <is>
          <t>* Không có.</t>
        </is>
      </c>
      <c r="M78" s="20" t="inlineStr">
        <is>
          <t>Ca đêm: K.Lâm</t>
        </is>
      </c>
    </row>
    <row r="79">
      <c r="A79" s="153" t="n">
        <v>45696</v>
      </c>
      <c r="B79" s="151" t="n">
        <v>145</v>
      </c>
      <c r="C79" s="151" t="n">
        <v>25821</v>
      </c>
      <c r="D79" s="151" t="n">
        <v>144</v>
      </c>
      <c r="E79" s="151" t="n">
        <v>25271</v>
      </c>
      <c r="F79" s="151" t="n">
        <v>31704</v>
      </c>
      <c r="G79" s="151" t="n">
        <v>5310</v>
      </c>
      <c r="H79" s="151" t="n"/>
      <c r="I79" s="142" t="n">
        <v>153</v>
      </c>
      <c r="J79" s="143" t="n">
        <v>143</v>
      </c>
      <c r="K79" s="58" t="inlineStr">
        <is>
          <t>* Không có.</t>
        </is>
      </c>
      <c r="L79" s="60" t="inlineStr">
        <is>
          <t>* ĐCK (Thanh, Dũng) kiểm tra, bảo trì các quầy cân</t>
        </is>
      </c>
      <c r="M79" s="20" t="inlineStr">
        <is>
          <t>Ca ngày: Nhân</t>
        </is>
      </c>
    </row>
    <row r="80" ht="112.5" customHeight="1" s="22">
      <c r="A80" s="246" t="n"/>
      <c r="B80" s="246" t="n"/>
      <c r="C80" s="246" t="n"/>
      <c r="D80" s="246" t="n"/>
      <c r="E80" s="246" t="n"/>
      <c r="F80" s="246" t="n"/>
      <c r="G80" s="246" t="n"/>
      <c r="H80" s="246" t="n"/>
      <c r="I80" s="246" t="n"/>
      <c r="J80" s="246" t="n"/>
      <c r="K80" s="60" t="inlineStr">
        <is>
          <t>* B/c oval đi số 4, b/xe số 74 bị hỏng bạc đạn. Đã báo ĐCK. ĐCK thay bánh xe chị tải trên số 74.
* 23h01, 23H20 mất kết nối SAC to PLC TTS, PLC TTS to SAC, reset chạy lại bth, ca sau theo dõi tiếp.
* Đoạn băng chuyền ME2-15, SM5-2 báo giả ''Isolator off'' vài lần trong ca, tắt mở hđbt, ca sau theo dõi thêm.</t>
        </is>
      </c>
      <c r="L80" s="58" t="inlineStr">
        <is>
          <t>* ĐCK đo poly răng oval đi số 1.</t>
        </is>
      </c>
      <c r="M80" s="20" t="inlineStr">
        <is>
          <t>Ca đêm: Hùng.</t>
        </is>
      </c>
    </row>
    <row r="81">
      <c r="A81" s="153" t="n">
        <v>45697</v>
      </c>
      <c r="B81" s="151" t="n">
        <v>152</v>
      </c>
      <c r="C81" s="151" t="n">
        <v>26334</v>
      </c>
      <c r="D81" s="151" t="n">
        <v>152</v>
      </c>
      <c r="E81" s="151" t="n">
        <v>26031</v>
      </c>
      <c r="F81" s="151" t="n">
        <v>31783</v>
      </c>
      <c r="G81" s="151" t="n">
        <v>5249</v>
      </c>
      <c r="H81" s="151" t="n">
        <v>22442</v>
      </c>
      <c r="I81" s="142" t="n">
        <v>150</v>
      </c>
      <c r="J81" s="143" t="n">
        <v>145</v>
      </c>
      <c r="K81" s="58" t="inlineStr">
        <is>
          <t>* Mất BSM 10h20, báo IT reset, hdbt.</t>
        </is>
      </c>
      <c r="L81" s="58" t="inlineStr">
        <is>
          <t>* Không có.</t>
        </is>
      </c>
      <c r="M81" s="20" t="inlineStr">
        <is>
          <t>Ca ngày: Bình</t>
        </is>
      </c>
    </row>
    <row r="82">
      <c r="A82" s="246" t="n"/>
      <c r="B82" s="246" t="n"/>
      <c r="C82" s="246" t="n"/>
      <c r="D82" s="246" t="n"/>
      <c r="E82" s="246" t="n"/>
      <c r="F82" s="246" t="n"/>
      <c r="G82" s="246" t="n"/>
      <c r="H82" s="246" t="n"/>
      <c r="I82" s="246" t="n"/>
      <c r="J82" s="246" t="n"/>
      <c r="K82" s="58" t="inlineStr">
        <is>
          <t>* Mất BSM 23h, báo IT reset, hdbt lại lúc 23h25</t>
        </is>
      </c>
      <c r="L82" s="58" t="inlineStr">
        <is>
          <t>* Không có.</t>
        </is>
      </c>
      <c r="M82" s="20" t="inlineStr">
        <is>
          <t>Ca đêm: Chơn.</t>
        </is>
      </c>
    </row>
    <row r="83" ht="37.5" customHeight="1" s="22">
      <c r="A83" s="153" t="n">
        <v>45698</v>
      </c>
      <c r="B83" s="151" t="n">
        <v>138</v>
      </c>
      <c r="C83" s="151" t="n">
        <v>25643</v>
      </c>
      <c r="D83" s="151" t="n">
        <v>137</v>
      </c>
      <c r="E83" s="151" t="n">
        <v>25029</v>
      </c>
      <c r="F83" s="151" t="n">
        <v>28949</v>
      </c>
      <c r="G83" s="151" t="n">
        <v>4540</v>
      </c>
      <c r="H83" s="151" t="n">
        <v>22466</v>
      </c>
      <c r="I83" s="142" t="n">
        <v>146</v>
      </c>
      <c r="J83" s="143" t="n">
        <v>142</v>
      </c>
      <c r="K83" s="60" t="inlineStr">
        <is>
          <t>* Quầy cân I9, phóng chập chờn, đã báo ĐCK, ĐCN. Đã kiểm tra sửa chữa. Hđbt.</t>
        </is>
      </c>
      <c r="L83" s="60" t="inlineStr">
        <is>
          <t>* ĐCN (Toàn) bảo trì băng chuyền Đến 1, 2, 3.
* Đội ĐT bảo trì hệ thống camera BHS.</t>
        </is>
      </c>
      <c r="M83" s="20" t="inlineStr">
        <is>
          <t>Ca ngày: Hùng</t>
        </is>
      </c>
    </row>
    <row r="84" ht="37.5" customHeight="1" s="22">
      <c r="A84" s="246" t="n"/>
      <c r="B84" s="246" t="n"/>
      <c r="C84" s="246" t="n"/>
      <c r="D84" s="246" t="n"/>
      <c r="E84" s="246" t="n"/>
      <c r="F84" s="246" t="n"/>
      <c r="G84" s="246" t="n"/>
      <c r="H84" s="246" t="n"/>
      <c r="I84" s="246" t="n"/>
      <c r="J84" s="246" t="n"/>
      <c r="K84" s="60" t="inlineStr">
        <is>
          <t>*Sorter báo '' No connetion from plc to cst''02 lần reset hoạt động bình thường.</t>
        </is>
      </c>
      <c r="L84" s="60" t="inlineStr">
        <is>
          <t>* ĐCK(Hoàng) kiểm tra thay bánh xe chịu tải Ovan 
đi số 4.</t>
        </is>
      </c>
      <c r="M84" s="20" t="inlineStr">
        <is>
          <t>Ca đêm: K.Lâm</t>
        </is>
      </c>
    </row>
    <row r="85" ht="75" customHeight="1" s="22">
      <c r="A85" s="153" t="n">
        <v>45699</v>
      </c>
      <c r="B85" s="151" t="n">
        <v>139</v>
      </c>
      <c r="C85" s="151" t="n">
        <v>24411</v>
      </c>
      <c r="D85" s="151" t="n">
        <v>140</v>
      </c>
      <c r="E85" s="151" t="n">
        <v>23578</v>
      </c>
      <c r="F85" s="151" t="n">
        <v>29896</v>
      </c>
      <c r="G85" s="151" t="n">
        <v>5051</v>
      </c>
      <c r="H85" s="151" t="n">
        <v>22489</v>
      </c>
      <c r="I85" s="142" t="n">
        <v>154</v>
      </c>
      <c r="J85" s="143" t="n">
        <v>142</v>
      </c>
      <c r="K85" s="60" t="n"/>
      <c r="L85" s="60" t="inlineStr">
        <is>
          <t xml:space="preserve">* ĐCN (Toàn) bảo trì băng chuyền Đến 3,4,5.
* ĐCK(an,việt) thay rulo bị động L3-34,L2-31 rulo căng belt, L6-9 Thay Rulo bị động.
</t>
        </is>
      </c>
      <c r="M85" s="20" t="inlineStr">
        <is>
          <t>Ca ngày: Sang</t>
        </is>
      </c>
    </row>
    <row r="86" ht="75" customHeight="1" s="22">
      <c r="A86" s="246" t="n"/>
      <c r="B86" s="246" t="n"/>
      <c r="C86" s="246" t="n"/>
      <c r="D86" s="246" t="n"/>
      <c r="E86" s="246" t="n"/>
      <c r="F86" s="246" t="n"/>
      <c r="G86" s="246" t="n"/>
      <c r="H86" s="246" t="n"/>
      <c r="I86" s="246" t="n"/>
      <c r="J86" s="246" t="n"/>
      <c r="K86" s="60" t="inlineStr">
        <is>
          <t xml:space="preserve">* Đảo GH fire door không bấm lên được, phải quay tay.
</t>
        </is>
      </c>
      <c r="L86" s="60" t="inlineStr">
        <is>
          <t>* ĐCK bảo trì ovan đi số 1 ( thay bánh xe chịu tải dưới: 91,68,66), ovan đi số 2 ( thay bánh xe chịu tải 47,98,53,52,102; bánh xe chịu tải trên 102; dẫn hướng 195), siết lá tapi.</t>
        </is>
      </c>
      <c r="M86" s="20" t="inlineStr">
        <is>
          <t>Ca đêm: Thái</t>
        </is>
      </c>
    </row>
    <row r="87" ht="93.75" customHeight="1" s="22">
      <c r="A87" s="153" t="n">
        <v>45700</v>
      </c>
      <c r="B87" s="151" t="n">
        <v>141</v>
      </c>
      <c r="C87" s="151" t="n">
        <v>26512</v>
      </c>
      <c r="D87" s="151" t="n">
        <v>137</v>
      </c>
      <c r="E87" s="151" t="n">
        <v>23098</v>
      </c>
      <c r="F87" s="151" t="inlineStr">
        <is>
          <t>Back up</t>
        </is>
      </c>
      <c r="G87" s="151" t="inlineStr">
        <is>
          <t>Back up</t>
        </is>
      </c>
      <c r="H87" s="151" t="n">
        <v>22512</v>
      </c>
      <c r="I87" s="142" t="n">
        <v>139</v>
      </c>
      <c r="J87" s="143" t="n">
        <v>110</v>
      </c>
      <c r="K87" s="60" t="inlineStr">
        <is>
          <t>* 15h20 :  trực CI phát hiện có dấu xước mờ trên bề mặt tapi dọc theo chiều dài băng chuyền gom hành lý L6-10. ĐCK (Tuấn) đã kiểm tra không phát hiện gì cạ vào.
* Các chuyến hành lý đổ về Noread nhiều, mds báo lại CNTT để kiểm tra liền.</t>
        </is>
      </c>
      <c r="L87" s="60" t="inlineStr">
        <is>
          <t xml:space="preserve">* ĐCN (Toàn) bảo trì tủ băng chuyền Đến 6,7,8. Departure L5.
</t>
        </is>
      </c>
      <c r="M87" s="20" t="inlineStr">
        <is>
          <t>Ca ngày: K.Lâm</t>
        </is>
      </c>
    </row>
    <row r="88" ht="93.75" customHeight="1" s="22">
      <c r="A88" s="246" t="n"/>
      <c r="B88" s="246" t="n"/>
      <c r="C88" s="246" t="n"/>
      <c r="D88" s="246" t="n"/>
      <c r="E88" s="246" t="n"/>
      <c r="F88" s="246" t="n"/>
      <c r="G88" s="246" t="n"/>
      <c r="H88" s="246" t="n"/>
      <c r="I88" s="246" t="n"/>
      <c r="J88" s="246" t="n"/>
      <c r="K88" s="60" t="inlineStr">
        <is>
          <t>* A1-4 thường xuyên báo lỗi inverter fault, đã báo ĐCN.
* Hệ thống sorter bị mất kết nối " SAC-FIS down", chuyển hệ thống sang chế độ backup.</t>
        </is>
      </c>
      <c r="L88" s="60" t="inlineStr">
        <is>
          <t>* Ovan 4 :ĐCK thay lá tapi 165,220 ; Ovan 5: thay bánh xe chịu tải trên 2,14,16,21,22,23,24,26,55,56,58,60,61,63,64,70,72,74,103,104,105,110,128; thay ống lót 140,141; thay bánh xe chịu tải trên,chịu tải dưới cho lá 107,132, siết lá tapi.</t>
        </is>
      </c>
      <c r="M88" s="20" t="inlineStr">
        <is>
          <t>Ca đêm: Thái</t>
        </is>
      </c>
    </row>
    <row r="89" ht="112.5" customHeight="1" s="22">
      <c r="A89" s="153" t="n">
        <v>45701</v>
      </c>
      <c r="B89" s="151" t="n">
        <v>140</v>
      </c>
      <c r="C89" s="151" t="n">
        <v>26380</v>
      </c>
      <c r="D89" s="151" t="n">
        <v>141</v>
      </c>
      <c r="E89" s="151" t="n">
        <v>23243</v>
      </c>
      <c r="F89" s="151" t="n">
        <v>37015</v>
      </c>
      <c r="G89" s="151" t="n">
        <v>5630</v>
      </c>
      <c r="H89" s="151" t="n">
        <v>22532</v>
      </c>
      <c r="I89" s="142" t="n">
        <v>159</v>
      </c>
      <c r="J89" s="143" t="n">
        <v>138</v>
      </c>
      <c r="K89" s="60" t="inlineStr">
        <is>
          <t>* 09h06 IT báo đã reset hệ thống SAC, 12h00 chuyển hệ thống chạy lại chế độ Sorter, hệ thống thông tin hành lý kết nối và phân loại bình thường, ca sau theo dõi tiếp.
* Đã enable lại khay 17, 20, 112, sau khi cơ khí sửa chữa, hoạt động bình thường, ca sau theo dõi thêm.</t>
        </is>
      </c>
      <c r="L89" s="60" t="inlineStr">
        <is>
          <t>* ĐCK (Công) thay chân kích lật khay 17, 20; thay bánh xe khay 112.
* ĐCK (Tuấn) thay bạc đạn SM5-4.
* ĐCN (Phúc) đã chỉnh lại inverter A1-4, hoạt động bình thường.
* ĐCK (Tuấn) đã chỉnh lại cần gạt L6A01 và L6B01B.</t>
        </is>
      </c>
      <c r="M89" s="20" t="inlineStr">
        <is>
          <t>Ca ngày: Nhân</t>
        </is>
      </c>
    </row>
    <row r="90" ht="93.75" customHeight="1" s="22">
      <c r="A90" s="246" t="n"/>
      <c r="B90" s="246" t="n"/>
      <c r="C90" s="246" t="n"/>
      <c r="D90" s="246" t="n"/>
      <c r="E90" s="246" t="n"/>
      <c r="F90" s="246" t="n"/>
      <c r="G90" s="246" t="n"/>
      <c r="H90" s="246" t="n"/>
      <c r="I90" s="246" t="n"/>
      <c r="J90" s="246" t="n"/>
      <c r="K90" s="60" t="inlineStr">
        <is>
          <t>* L1-33 khi băng chuyền Diebag,hành lý hay bị trượt lên 1 đoạn mới ngừng. Nên khi đông chuyến bị kẹt, dồn hành lý tại IND1. Nhờ trực ca sáng báo bảo trì kiểm tra, chỉnh lại.
* L4-48 đứt cáp đóng móc tapi khoảng 20cm. ĐCK(Chân) đã đóng móc, thay thế lại tapi khác.</t>
        </is>
      </c>
      <c r="L90" s="60" t="inlineStr">
        <is>
          <t>* ĐCK bảo trì Ovan đi số 3 (thay bánh xe chịu tải trên số 6,21,22,23,25,26,57,59. Chịu tải dưới 125,126, lá tapi 125), Ovan đi số 6 (chịu tải dưới 60), lá tapi 157 Ovan đi 4.</t>
        </is>
      </c>
      <c r="M90" s="20" t="inlineStr">
        <is>
          <t>Ca đêm: K.Lâm</t>
        </is>
      </c>
    </row>
    <row r="91" ht="168.75" customHeight="1" s="22">
      <c r="A91" s="153" t="n">
        <v>45702</v>
      </c>
      <c r="B91" s="151" t="n">
        <v>139</v>
      </c>
      <c r="C91" s="151" t="n">
        <v>26710</v>
      </c>
      <c r="D91" s="151" t="n">
        <v>138</v>
      </c>
      <c r="E91" s="151" t="n">
        <v>23878</v>
      </c>
      <c r="F91" s="151" t="n">
        <v>31449</v>
      </c>
      <c r="G91" s="151" t="n">
        <v>4728</v>
      </c>
      <c r="H91" s="151" t="n"/>
      <c r="I91" s="142" t="n">
        <v>156</v>
      </c>
      <c r="J91" s="143" t="n">
        <v>141</v>
      </c>
      <c r="K91" s="60" t="inlineStr">
        <is>
          <t xml:space="preserve">* 02 máy tính SAC kiểm tra thông tin chuyến bay rất chậm. CNTT(Long) đã xử lý nhưng chưa được.
* ĐCN(Phúc) đã chỉnh tốc độ motor L3-4 tăng hơn xíu cho đỡ kẹt băng chuyền,theo dõi thêm.
* L1-33 bị trượt lên 1 đoạn khi bc diebag. ĐCN(Phúc) đã kiểm tra motor tháo thắng,không chỉnh được. Tạm thời đã báo DCK(Sơn) kiếm thắng gắn vào hoặc đổi motor có thắng. Các ca sau theo dõi thêm.
</t>
        </is>
      </c>
      <c r="L91" s="60" t="inlineStr">
        <is>
          <t xml:space="preserve">
* ĐCN (Phúc) bảo trì đảo AB
</t>
        </is>
      </c>
      <c r="M91" s="20" t="inlineStr">
        <is>
          <t>Ca ngày: Thái</t>
        </is>
      </c>
    </row>
    <row r="92">
      <c r="A92" s="246" t="n"/>
      <c r="B92" s="246" t="n"/>
      <c r="C92" s="246" t="n"/>
      <c r="D92" s="246" t="n"/>
      <c r="E92" s="246" t="n"/>
      <c r="F92" s="246" t="n"/>
      <c r="G92" s="246" t="n"/>
      <c r="H92" s="246" t="n"/>
      <c r="I92" s="246" t="n"/>
      <c r="J92" s="246" t="n"/>
      <c r="K92" s="60" t="inlineStr">
        <is>
          <t>* Khay 98 mất bánh xe.</t>
        </is>
      </c>
      <c r="L92" s="60" t="inlineStr">
        <is>
          <t>* ĐCK bảo trì Oval đi số 3.</t>
        </is>
      </c>
      <c r="M92" s="20" t="inlineStr">
        <is>
          <t>Ca đêm: Vũ</t>
        </is>
      </c>
    </row>
    <row r="93">
      <c r="A93" s="153" t="n">
        <v>45703</v>
      </c>
      <c r="B93" s="151" t="n">
        <v>141</v>
      </c>
      <c r="C93" s="151" t="n">
        <v>27093</v>
      </c>
      <c r="D93" s="151" t="n">
        <v>136</v>
      </c>
      <c r="E93" s="151" t="n">
        <v>23476</v>
      </c>
      <c r="F93" s="151" t="n">
        <v>31559</v>
      </c>
      <c r="G93" s="151" t="n">
        <v>5048</v>
      </c>
      <c r="H93" s="151" t="n">
        <v>22578</v>
      </c>
      <c r="I93" s="142" t="n">
        <v>158</v>
      </c>
      <c r="J93" s="143" t="n">
        <v>142</v>
      </c>
      <c r="K93" s="58" t="inlineStr">
        <is>
          <t>* Không có.</t>
        </is>
      </c>
      <c r="L93" s="60" t="inlineStr">
        <is>
          <t>* ĐCK và ĐCN thay mới motor kèm biến tần A1-4, hđbt</t>
        </is>
      </c>
      <c r="M93" s="20" t="inlineStr">
        <is>
          <t>Ca ngày: Chơn.</t>
        </is>
      </c>
    </row>
    <row r="94" ht="37.5" customHeight="1" s="22">
      <c r="A94" s="246" t="n"/>
      <c r="B94" s="246" t="n"/>
      <c r="C94" s="246" t="n"/>
      <c r="D94" s="246" t="n"/>
      <c r="E94" s="246" t="n"/>
      <c r="F94" s="246" t="n"/>
      <c r="G94" s="246" t="n"/>
      <c r="H94" s="246" t="n"/>
      <c r="I94" s="246" t="n"/>
      <c r="J94" s="246" t="n"/>
      <c r="K94" s="60" t="inlineStr">
        <is>
          <t>* Sorter báo '' No connetion from plc to cst '' 03 lần reset hoạt động bình thường. (Ghi chú để theo dõi: tối thứ 7)</t>
        </is>
      </c>
      <c r="L94" s="58" t="inlineStr">
        <is>
          <t>* Không có.</t>
        </is>
      </c>
      <c r="M94" s="20" t="inlineStr">
        <is>
          <t>Ca đêm : Thái</t>
        </is>
      </c>
    </row>
    <row r="95" ht="75" customHeight="1" s="22">
      <c r="A95" s="153" t="n">
        <v>45704</v>
      </c>
      <c r="B95" s="151" t="n">
        <v>139</v>
      </c>
      <c r="C95" s="151" t="n">
        <v>26462</v>
      </c>
      <c r="D95" s="151" t="n">
        <v>139</v>
      </c>
      <c r="E95" s="151" t="n">
        <v>24434</v>
      </c>
      <c r="F95" s="151" t="n">
        <v>31444</v>
      </c>
      <c r="G95" s="151" t="n">
        <v>4344</v>
      </c>
      <c r="H95" s="151" t="n">
        <v>22602</v>
      </c>
      <c r="I95" s="142" t="n">
        <v>148</v>
      </c>
      <c r="J95" s="143" t="n">
        <v>140</v>
      </c>
      <c r="K95" s="60" t="inlineStr">
        <is>
          <t>* Băng chuyền đến A6 báo lỗi 'soft starter fault',
ĐCN báo thứ 2 lấy kho thay mới, hiện tại đang chạy by pass soft starter.
* Khay 52 thường xuyên báo mất bánh xe, disable.</t>
        </is>
      </c>
      <c r="L95" s="58" t="inlineStr">
        <is>
          <t>* Không có.</t>
        </is>
      </c>
      <c r="M95" s="20" t="inlineStr">
        <is>
          <t>Ca ngày: Chơn.</t>
        </is>
      </c>
    </row>
    <row r="96" ht="150" customHeight="1" s="22">
      <c r="A96" s="246" t="n"/>
      <c r="B96" s="246" t="n"/>
      <c r="C96" s="246" t="n"/>
      <c r="D96" s="246" t="n"/>
      <c r="E96" s="246" t="n"/>
      <c r="F96" s="246" t="n"/>
      <c r="G96" s="246" t="n"/>
      <c r="H96" s="246" t="n"/>
      <c r="I96" s="246" t="n"/>
      <c r="J96" s="246" t="n"/>
      <c r="K96" s="60" t="inlineStr">
        <is>
          <t>* Băng chuyền đến A6 báo lỗi 'soft starter fault' liên tục khi bc Power save, từ A5-1 đến A5-7 không chạy remote tiếp dc 
&gt;&gt;&gt; Cách xử lý: OFF CB bypass Softstart, ON lại CB bộ Softstart (CB114) reset hết lỗi trên tủ điện cho các đoạn bc chạy. Sau đó OFF lại CB114, và ON CB bypass Softstart chạy trực tiếp.
* 02 máy tính SAC kiểm tra thông tin chuyến bay rất chậm. CNTT xử lý (14/2) nhưng chưa được.</t>
        </is>
      </c>
      <c r="L96" s="58" t="inlineStr">
        <is>
          <t>* Không có.</t>
        </is>
      </c>
      <c r="M96" s="20" t="inlineStr">
        <is>
          <t>Ca đêm: K.Lâm</t>
        </is>
      </c>
    </row>
    <row r="97" ht="112.5" customHeight="1" s="22">
      <c r="A97" s="153" t="n">
        <v>45705</v>
      </c>
      <c r="B97" s="151" t="n">
        <v>135</v>
      </c>
      <c r="C97" s="151" t="n">
        <v>25919</v>
      </c>
      <c r="D97" s="151" t="n">
        <v>134</v>
      </c>
      <c r="E97" s="151" t="n">
        <v>24080</v>
      </c>
      <c r="F97" s="151" t="n">
        <v>29066</v>
      </c>
      <c r="G97" s="151" t="n">
        <v>4320</v>
      </c>
      <c r="H97" s="151" t="n">
        <v>22627</v>
      </c>
      <c r="I97" s="142" t="n">
        <v>151</v>
      </c>
      <c r="J97" s="143" t="n">
        <v>142</v>
      </c>
      <c r="K97" s="60" t="inlineStr">
        <is>
          <t>* Băng chuyền đến A6 báo lỗi 'soft starter fault',
ĐCN báo chờ vật tư lấy kho thay mới, hiện tại đang chạy by pass soft starter.
* Chuyến KT0601 bên Arin báo hãng không đăng ký BSM.
* 02 máy tính SAC kiểm tra thông tin chuyến bay rất chậm. CNTT đã dọn dẹp bộ nhớ Cache   nhưng còn chậm.</t>
        </is>
      </c>
      <c r="L97" s="60" t="inlineStr">
        <is>
          <t>* ĐCN bảo trì RT3,4,5.Siết lại các nút estop RT5.
* ĐCK vệ sinh cân C1 đến C4, D7 đến D10, H1 đến H6, B3 đến B6.</t>
        </is>
      </c>
      <c r="M97" s="20" t="inlineStr">
        <is>
          <t>Ca ngày: Thái</t>
        </is>
      </c>
    </row>
    <row r="98" ht="108.75" customHeight="1" s="22">
      <c r="A98" s="246" t="n"/>
      <c r="B98" s="246" t="n"/>
      <c r="C98" s="246" t="n"/>
      <c r="D98" s="246" t="n"/>
      <c r="E98" s="246" t="n"/>
      <c r="F98" s="246" t="n"/>
      <c r="G98" s="246" t="n"/>
      <c r="H98" s="246" t="n"/>
      <c r="I98" s="246" t="n"/>
      <c r="J98" s="246" t="n"/>
      <c r="K98" s="60" t="inlineStr">
        <is>
          <t>* Sorter báo 'No connection from PLC TTS to CTS' 4 lần.
* Băng chuyền đến A6 báo lỗi 'soft starter fault',
ĐCN báo chờ thay mới, hiện tại đang chạy by pass soft starter.Tiếp tục theo dõi.</t>
        </is>
      </c>
      <c r="L98" s="60" t="inlineStr">
        <is>
          <t>* ĐCK thay rulo chỉnh SM4-5 và 2 bạc đạn.
* ĐCK bảo trì oval đến 6, kiểm tra hộp truyền lực và bạc đạn puly.</t>
        </is>
      </c>
      <c r="M98" s="20" t="inlineStr">
        <is>
          <t>Ca đêm: Chơn.</t>
        </is>
      </c>
    </row>
    <row r="99" ht="56.25" customHeight="1" s="22">
      <c r="A99" s="153" t="n">
        <v>45706</v>
      </c>
      <c r="B99" s="151" t="n">
        <v>137</v>
      </c>
      <c r="C99" s="151" t="n">
        <v>25363</v>
      </c>
      <c r="D99" s="151" t="n">
        <v>139</v>
      </c>
      <c r="E99" s="151" t="n">
        <v>23496</v>
      </c>
      <c r="F99" s="151" t="n">
        <v>31535</v>
      </c>
      <c r="G99" s="151" t="n">
        <v>5004</v>
      </c>
      <c r="H99" s="151" t="n">
        <v>22649</v>
      </c>
      <c r="I99" s="142" t="n">
        <v>155</v>
      </c>
      <c r="J99" s="143" t="n">
        <v>140</v>
      </c>
      <c r="K99" s="60" t="inlineStr">
        <is>
          <t xml:space="preserve">* ĐCN (Toàn) thay bộ Soft Starter (hư 16/02) bằng bộ biến tần Schneider (ATV320)  cho Ovan băng chuyền đến số 6.
</t>
        </is>
      </c>
      <c r="L99" s="60" t="inlineStr">
        <is>
          <t>* ĐCK(Duy) vệ sinh các quầy cân đảo G, quầy C9,C10.</t>
        </is>
      </c>
      <c r="M99" s="20" t="inlineStr">
        <is>
          <t>Ca ngày: K.Lâm</t>
        </is>
      </c>
    </row>
    <row r="100" ht="37.5" customHeight="1" s="22">
      <c r="A100" s="246" t="n"/>
      <c r="B100" s="246" t="n"/>
      <c r="C100" s="246" t="n"/>
      <c r="D100" s="246" t="n"/>
      <c r="E100" s="246" t="n"/>
      <c r="F100" s="246" t="n"/>
      <c r="G100" s="246" t="n"/>
      <c r="H100" s="246" t="n"/>
      <c r="I100" s="246" t="n"/>
      <c r="J100" s="246" t="n"/>
      <c r="K100" s="60" t="inlineStr">
        <is>
          <t>* Không có.</t>
        </is>
      </c>
      <c r="L100" s="60" t="inlineStr">
        <is>
          <t>* ĐCK thay bạc đạn Puly bị động (phía ovan 7) băng chuyền đến số 6 .</t>
        </is>
      </c>
      <c r="M100" s="20" t="inlineStr">
        <is>
          <t>Ca đêm: Thái</t>
        </is>
      </c>
    </row>
    <row r="101" ht="37.5" customHeight="1" s="22">
      <c r="A101" s="153" t="n">
        <v>45707</v>
      </c>
      <c r="B101" s="151" t="n">
        <v>142</v>
      </c>
      <c r="C101" s="151" t="n">
        <v>27203</v>
      </c>
      <c r="D101" s="151" t="n">
        <v>138</v>
      </c>
      <c r="E101" s="151" t="n">
        <v>23361</v>
      </c>
      <c r="F101" s="151" t="n">
        <v>32658</v>
      </c>
      <c r="G101" s="151" t="n">
        <v>4793</v>
      </c>
      <c r="H101" s="151" t="n">
        <v>22673</v>
      </c>
      <c r="I101" s="142" t="n">
        <v>141</v>
      </c>
      <c r="J101" s="143" t="n">
        <v>150</v>
      </c>
      <c r="K101" s="60" t="inlineStr">
        <is>
          <t>* Băng chuyền đến số 2 báo Earth leak, màn hình MDS báo trip CB, reset hoạt động bình thường, ca sau theo dõi thêm.</t>
        </is>
      </c>
      <c r="L101" s="58" t="inlineStr">
        <is>
          <t>* ĐCK (Tuấn Anh) thay 1 lá tapi oval đi số 4.</t>
        </is>
      </c>
      <c r="M101" s="20" t="inlineStr">
        <is>
          <t>Ca ngày: Chơn.</t>
        </is>
      </c>
    </row>
    <row r="102" ht="56.25" customHeight="1" s="22">
      <c r="A102" s="246" t="n"/>
      <c r="B102" s="246" t="n"/>
      <c r="C102" s="246" t="n"/>
      <c r="D102" s="246" t="n"/>
      <c r="E102" s="246" t="n"/>
      <c r="F102" s="246" t="n"/>
      <c r="G102" s="246" t="n"/>
      <c r="H102" s="246" t="n"/>
      <c r="I102" s="246" t="n"/>
      <c r="J102" s="246" t="n"/>
      <c r="K102" s="58" t="n"/>
      <c r="L102" s="60" t="inlineStr">
        <is>
          <t>* ĐCK (Trung) kiểm tra hộp truyền lực ovan đến số 6. Thay lá tapi 157, bánh xe chịu tải dưới  212 băng chuyền ovan đi số 4, siết lá tapi ovan đi số 3.</t>
        </is>
      </c>
      <c r="M102" s="20" t="inlineStr">
        <is>
          <t>Ca đêm: K.Lâm</t>
        </is>
      </c>
    </row>
    <row r="103">
      <c r="A103" s="153" t="n">
        <v>45708</v>
      </c>
      <c r="B103" s="151" t="n">
        <v>138</v>
      </c>
      <c r="C103" s="151" t="n">
        <v>26670</v>
      </c>
      <c r="D103" s="151" t="n">
        <v>137</v>
      </c>
      <c r="E103" s="151" t="n">
        <v>22577</v>
      </c>
      <c r="F103" s="151" t="n">
        <v>30492</v>
      </c>
      <c r="G103" s="151" t="n">
        <v>4509</v>
      </c>
      <c r="H103" s="151" t="n">
        <v>22697</v>
      </c>
      <c r="I103" s="142" t="n">
        <v>152</v>
      </c>
      <c r="J103" s="143" t="n">
        <v>140</v>
      </c>
      <c r="K103" s="60" t="n"/>
      <c r="L103" s="58" t="inlineStr">
        <is>
          <t>* ĐCK thay motor cân K2.</t>
        </is>
      </c>
      <c r="M103" s="20" t="inlineStr">
        <is>
          <t>Ca ngày: Thái</t>
        </is>
      </c>
    </row>
    <row r="104">
      <c r="A104" s="246" t="n"/>
      <c r="B104" s="246" t="n"/>
      <c r="C104" s="246" t="n"/>
      <c r="D104" s="246" t="n"/>
      <c r="E104" s="246" t="n"/>
      <c r="F104" s="246" t="n"/>
      <c r="G104" s="246" t="n"/>
      <c r="H104" s="246" t="n"/>
      <c r="I104" s="246" t="n"/>
      <c r="J104" s="246" t="n"/>
      <c r="K104" s="58" t="inlineStr">
        <is>
          <t>* Không có.</t>
        </is>
      </c>
      <c r="L104" s="60" t="inlineStr">
        <is>
          <t>* Không có.</t>
        </is>
      </c>
      <c r="M104" s="20" t="inlineStr">
        <is>
          <t>Ca đêm: Chơn</t>
        </is>
      </c>
    </row>
    <row r="105" ht="33" customHeight="1" s="22">
      <c r="A105" s="153" t="n">
        <v>45709</v>
      </c>
      <c r="B105" s="151" t="n">
        <v>138</v>
      </c>
      <c r="C105" s="151" t="n">
        <v>27210</v>
      </c>
      <c r="D105" s="151" t="n">
        <v>139</v>
      </c>
      <c r="E105" s="151" t="n">
        <v>24724</v>
      </c>
      <c r="F105" s="151" t="n">
        <v>30492</v>
      </c>
      <c r="G105" s="151" t="n">
        <v>5156</v>
      </c>
      <c r="H105" s="151" t="n">
        <v>22720</v>
      </c>
      <c r="I105" s="142" t="n">
        <v>150</v>
      </c>
      <c r="J105" s="143" t="n">
        <v>144</v>
      </c>
      <c r="K105" s="58" t="inlineStr">
        <is>
          <t>* I-7 lệch kg đã hiệu chỉnh theo dõi.</t>
        </is>
      </c>
      <c r="L105" s="58" t="inlineStr">
        <is>
          <t>* ĐCK (Việt) chỉnh Loadcell cân I-7, F-9</t>
        </is>
      </c>
      <c r="M105" s="20" t="inlineStr">
        <is>
          <t>Ca ngày: Nhân</t>
        </is>
      </c>
    </row>
    <row r="106" ht="63.75" customHeight="1" s="22">
      <c r="A106" s="246" t="n"/>
      <c r="B106" s="246" t="n"/>
      <c r="C106" s="246" t="n"/>
      <c r="D106" s="246" t="n"/>
      <c r="E106" s="246" t="n"/>
      <c r="F106" s="246" t="n"/>
      <c r="G106" s="246" t="n"/>
      <c r="H106" s="246" t="n"/>
      <c r="I106" s="246" t="n"/>
      <c r="J106" s="246" t="n"/>
      <c r="K106" s="58" t="inlineStr">
        <is>
          <t>* Không có.</t>
        </is>
      </c>
      <c r="L106" s="60" t="inlineStr">
        <is>
          <t>* ĐCK đã hàn lại Pat che motor trụ cân K2, vệ sinh siết tipping device, chỉnh cao độ của cân quầy I1 đến I10.</t>
        </is>
      </c>
      <c r="M106" s="20" t="inlineStr">
        <is>
          <t>Ca đêm: Thái</t>
        </is>
      </c>
    </row>
    <row r="107" ht="37.5" customHeight="1" s="22">
      <c r="A107" s="153" t="n">
        <v>45710</v>
      </c>
      <c r="B107" s="151" t="n">
        <v>140</v>
      </c>
      <c r="C107" s="151" t="n">
        <v>27516</v>
      </c>
      <c r="D107" s="151" t="n">
        <v>138</v>
      </c>
      <c r="E107" s="151" t="n">
        <v>23378</v>
      </c>
      <c r="F107" s="151" t="n">
        <v>31695</v>
      </c>
      <c r="G107" s="151" t="n">
        <v>4906</v>
      </c>
      <c r="H107" s="151" t="n">
        <v>22743</v>
      </c>
      <c r="I107" s="142" t="n">
        <v>146</v>
      </c>
      <c r="J107" s="143" t="n">
        <v>143</v>
      </c>
      <c r="K107" s="60" t="inlineStr">
        <is>
          <t>* Quầy cân J7 lệch nhiều lần, báo ĐCK kiểm tra và đã thay loadcell mới 4 góc, hđbt.</t>
        </is>
      </c>
      <c r="L107" s="58" t="inlineStr">
        <is>
          <t>* ĐCK bảo trì ovan đi, thay 1 bánh xe chị tải ovan 2.</t>
        </is>
      </c>
      <c r="M107" s="20" t="inlineStr">
        <is>
          <t>Ca ngày: Hùng.</t>
        </is>
      </c>
    </row>
    <row r="108" ht="112.5" customHeight="1" s="22">
      <c r="A108" s="246" t="n"/>
      <c r="B108" s="246" t="n"/>
      <c r="C108" s="246" t="n"/>
      <c r="D108" s="246" t="n"/>
      <c r="E108" s="246" t="n"/>
      <c r="F108" s="246" t="n"/>
      <c r="G108" s="246" t="n"/>
      <c r="H108" s="246" t="n"/>
      <c r="I108" s="246" t="n"/>
      <c r="J108" s="246" t="n"/>
      <c r="K108" s="60" t="inlineStr">
        <is>
          <t>* 22h30: 01 kiện hành lý túi mềm không bỏ khay, 
gây kẹt băng chuyền rách tại chute Noread. Đã bàn giao cho PVHL Viags.
* Khu vực Checkin gần đảo CD báo cháy lúc 23h15. Các đảo làm thủ tục từ CD -&gt;KL bị dừng. Reset hệ thống xong lúc 23h25, hệ thống băng chuyền khởi động lại bình thường.</t>
        </is>
      </c>
      <c r="L108" s="58" t="n"/>
      <c r="M108" s="20" t="n"/>
    </row>
    <row r="109" ht="27.75" customHeight="1" s="22">
      <c r="A109" s="153" t="n">
        <v>45711</v>
      </c>
      <c r="B109" s="151" t="n">
        <v>146</v>
      </c>
      <c r="C109" s="151" t="n">
        <v>27610</v>
      </c>
      <c r="D109" s="151" t="n">
        <v>142</v>
      </c>
      <c r="E109" s="151" t="n">
        <v>23984</v>
      </c>
      <c r="F109" s="151" t="n">
        <v>32423</v>
      </c>
      <c r="G109" s="151" t="n">
        <v>5052</v>
      </c>
      <c r="H109" s="151" t="n"/>
      <c r="I109" s="142" t="n">
        <v>150</v>
      </c>
      <c r="J109" s="143" t="n">
        <v>144</v>
      </c>
      <c r="K109" s="58" t="inlineStr">
        <is>
          <t>* Khay 99 bị bể tấm front support , disable.</t>
        </is>
      </c>
      <c r="L109" s="58" t="n"/>
      <c r="M109" s="20" t="inlineStr">
        <is>
          <t>Ca ngày:Thái</t>
        </is>
      </c>
    </row>
    <row r="110" ht="28.5" customHeight="1" s="22">
      <c r="A110" s="246" t="n"/>
      <c r="B110" s="246" t="n"/>
      <c r="C110" s="246" t="n"/>
      <c r="D110" s="246" t="n"/>
      <c r="E110" s="246" t="n"/>
      <c r="F110" s="246" t="n"/>
      <c r="G110" s="246" t="n"/>
      <c r="H110" s="246" t="n"/>
      <c r="I110" s="246" t="n"/>
      <c r="J110" s="246" t="n"/>
      <c r="K110" s="58" t="n"/>
      <c r="L110" s="58" t="n"/>
      <c r="M110" s="20" t="inlineStr">
        <is>
          <t>Ca đêm: Chơn</t>
        </is>
      </c>
    </row>
    <row r="111" ht="34.5" customHeight="1" s="22">
      <c r="A111" s="153" t="n">
        <v>45712</v>
      </c>
      <c r="B111" s="151" t="n">
        <v>133</v>
      </c>
      <c r="C111" s="151" t="n">
        <v>24398</v>
      </c>
      <c r="D111" s="151" t="n">
        <v>134</v>
      </c>
      <c r="E111" s="151" t="n">
        <v>22459</v>
      </c>
      <c r="F111" s="151" t="n">
        <v>29746</v>
      </c>
      <c r="G111" s="151" t="n">
        <v>4677</v>
      </c>
      <c r="H111" s="151" t="n">
        <v>22791</v>
      </c>
      <c r="I111" s="142" t="n">
        <v>152</v>
      </c>
      <c r="J111" s="143" t="n">
        <v>140</v>
      </c>
      <c r="K111" s="58" t="inlineStr">
        <is>
          <t>* Quầy C6 lệch kg, đã chỉnh.</t>
        </is>
      </c>
      <c r="L111" s="58" t="inlineStr">
        <is>
          <t>*ĐCK thay bánh xe Ovan đến 3(số 2,4,7,8,257,258)</t>
        </is>
      </c>
      <c r="M111" s="20" t="inlineStr">
        <is>
          <t>Ca ngày: K.Lâm</t>
        </is>
      </c>
    </row>
    <row r="112" ht="33" customHeight="1" s="22">
      <c r="A112" s="246" t="n"/>
      <c r="B112" s="246" t="n"/>
      <c r="C112" s="246" t="n"/>
      <c r="D112" s="246" t="n"/>
      <c r="E112" s="246" t="n"/>
      <c r="F112" s="246" t="n"/>
      <c r="G112" s="246" t="n"/>
      <c r="H112" s="246" t="n"/>
      <c r="I112" s="246" t="n"/>
      <c r="J112" s="246" t="n"/>
      <c r="K112" s="58" t="n"/>
      <c r="L112" s="58" t="inlineStr">
        <is>
          <t>*ĐCK ( Việt) bảo trì cân A1 đến A10, B7 đến B10.</t>
        </is>
      </c>
      <c r="M112" s="20" t="inlineStr">
        <is>
          <t>Ca đêm: Thái</t>
        </is>
      </c>
    </row>
    <row r="113" ht="138.75" customHeight="1" s="22">
      <c r="A113" s="153" t="n">
        <v>45713</v>
      </c>
      <c r="B113" s="151" t="n">
        <v>138</v>
      </c>
      <c r="C113" s="151" t="n">
        <v>26669</v>
      </c>
      <c r="D113" s="151" t="n">
        <v>138</v>
      </c>
      <c r="E113" s="151" t="n">
        <v>21939</v>
      </c>
      <c r="F113" s="151" t="n">
        <v>32737</v>
      </c>
      <c r="G113" s="151" t="n">
        <v>5305</v>
      </c>
      <c r="H113" s="151" t="n">
        <v>22814</v>
      </c>
      <c r="I113" s="142" t="n">
        <v>140</v>
      </c>
      <c r="J113" s="143" t="n">
        <v>147</v>
      </c>
      <c r="K113" s="60" t="inlineStr">
        <is>
          <t xml:space="preserve">* Lúc 08h39 hệ thống SAC mất toàn bộ BSM, đã báo CNTT. Trong lúc chờ CNTT ktra, hành lý đổ về Noread và b/c oval đi số 3. NVVH phối hợp với PVHL điều phối hành lý. Đến 09h35 hệ thống SAC nhận được BSM, hệ thống hoạt động bình thường. Đã báo TBT và Mr Long(PGĐ). </t>
        </is>
      </c>
      <c r="L113" s="60" t="inlineStr">
        <is>
          <t>* CNTT đã báo AIRINC phối hợp ktra, reset hệ thống SAC, xử lý xong lúc 09h35. Hoạt động bình thường.</t>
        </is>
      </c>
      <c r="M113" s="20" t="inlineStr">
        <is>
          <t>Ca ngày: Chơn.</t>
        </is>
      </c>
    </row>
    <row r="114" ht="56.25" customHeight="1" s="22">
      <c r="A114" s="246" t="n"/>
      <c r="B114" s="246" t="n"/>
      <c r="C114" s="246" t="n"/>
      <c r="D114" s="246" t="n"/>
      <c r="E114" s="246" t="n"/>
      <c r="F114" s="246" t="n"/>
      <c r="G114" s="246" t="n"/>
      <c r="H114" s="246" t="n"/>
      <c r="I114" s="246" t="n"/>
      <c r="J114" s="246" t="n"/>
      <c r="K114" s="60" t="inlineStr">
        <is>
          <t>* IND1,IND3 hay bị báo lỗi jam khi đông chuyến.
* Đoạn mes backup L6A02 chạy không nổi, đã báo DCK(Sơn).
* Khay 123 disable do nằm giữa 2 khay đang disable 122,124.</t>
        </is>
      </c>
      <c r="L114" s="58" t="inlineStr">
        <is>
          <t>* Không có.</t>
        </is>
      </c>
      <c r="M114" s="20" t="inlineStr">
        <is>
          <t>Ca đêm: K.Lâm</t>
        </is>
      </c>
    </row>
    <row r="115" ht="138.75" customHeight="1" s="22">
      <c r="A115" s="153" t="n">
        <v>45714</v>
      </c>
      <c r="B115" s="151" t="n">
        <v>143</v>
      </c>
      <c r="C115" s="151" t="n">
        <v>27372</v>
      </c>
      <c r="D115" s="151" t="n">
        <v>140</v>
      </c>
      <c r="E115" s="151" t="n">
        <v>22474</v>
      </c>
      <c r="F115" s="151" t="n">
        <v>33078</v>
      </c>
      <c r="G115" s="151" t="n">
        <v>4882</v>
      </c>
      <c r="H115" s="151" t="n"/>
      <c r="I115" s="142" t="n">
        <v>151</v>
      </c>
      <c r="J115" s="143" t="n">
        <v>140</v>
      </c>
      <c r="K115" s="60" t="inlineStr">
        <is>
          <t>* ĐCK (Công) đã chỉnh lại tapi L6A02, hdbt.
* Khay 13 gãy chân, disable.</t>
        </is>
      </c>
      <c r="L115" s="58" t="inlineStr">
        <is>
          <t>* Không có.</t>
        </is>
      </c>
      <c r="M115" s="20" t="inlineStr">
        <is>
          <t>Ca ngày: Thái</t>
        </is>
      </c>
    </row>
    <row r="116" ht="75" customHeight="1" s="22">
      <c r="A116" s="246" t="n"/>
      <c r="B116" s="246" t="n"/>
      <c r="C116" s="246" t="n"/>
      <c r="D116" s="246" t="n"/>
      <c r="E116" s="246" t="n"/>
      <c r="F116" s="246" t="n"/>
      <c r="G116" s="246" t="n"/>
      <c r="H116" s="246" t="n"/>
      <c r="I116" s="246" t="n"/>
      <c r="J116" s="246" t="n"/>
      <c r="K116" s="60" t="inlineStr">
        <is>
          <t xml:space="preserve">* Khay 46 mất bánh xe.
* 02h-04h CNTT thử nghiệm tích hợp hệ thống cMUSE; chuyển điện 2 lần: 04h16, 04h44. Reset hệ thống HĐBT.
 </t>
        </is>
      </c>
      <c r="L116" s="58" t="inlineStr">
        <is>
          <t>* Không có.</t>
        </is>
      </c>
      <c r="M116" s="20" t="inlineStr">
        <is>
          <t>Ca đêm: Chơn</t>
        </is>
      </c>
    </row>
    <row r="117" ht="93.75" customHeight="1" s="22">
      <c r="A117" s="153" t="n">
        <v>45715</v>
      </c>
      <c r="B117" s="151" t="n">
        <v>138</v>
      </c>
      <c r="C117" s="151" t="n">
        <v>27223</v>
      </c>
      <c r="D117" s="151" t="n">
        <v>138</v>
      </c>
      <c r="E117" s="151" t="n">
        <v>23115</v>
      </c>
      <c r="F117" s="151" t="n">
        <v>34174</v>
      </c>
      <c r="G117" s="151" t="n">
        <v>5447</v>
      </c>
      <c r="H117" s="151" t="n">
        <v>22861</v>
      </c>
      <c r="I117" s="142" t="n">
        <v>141</v>
      </c>
      <c r="J117" s="143" t="n">
        <v>148</v>
      </c>
      <c r="K117" s="60" t="inlineStr">
        <is>
          <t xml:space="preserve">* Quầy A8 đứt cáp gia cố tấm inox quầy cân, ĐCK(Công) đã xử lý.
* Motor băng chuyền dài đảo A (L6-03) có mùi khét, ĐCK + ĐCN kết hợp kiểm tra tạm tháo thắng motor, thiết bị hdbt.
</t>
        </is>
      </c>
      <c r="L117" s="60" t="inlineStr">
        <is>
          <t>* ĐCK(Việt) căng belt TR2-5, căng dây Curoa 
Belt3(IND4)
* ĐCK(Duy) chỉnh lại belt 4(IND1). Ca đêm nay lúc đông chuyến nếu IND1,IND3 bị kẹt nhiều lỗi cũ thì các Anh báo trực ĐCK,ĐCN lên kiểm tra lại nhé.</t>
        </is>
      </c>
      <c r="M117" s="20" t="inlineStr">
        <is>
          <t>Ca ngày: K.Lâm</t>
        </is>
      </c>
    </row>
    <row r="118" ht="56.25" customHeight="1" s="22">
      <c r="A118" s="246" t="n"/>
      <c r="B118" s="246" t="n"/>
      <c r="C118" s="246" t="n"/>
      <c r="D118" s="246" t="n"/>
      <c r="E118" s="246" t="n"/>
      <c r="F118" s="246" t="n"/>
      <c r="G118" s="246" t="n"/>
      <c r="H118" s="246" t="n"/>
      <c r="I118" s="246" t="n"/>
      <c r="J118" s="246" t="n"/>
      <c r="K118" s="60" t="inlineStr">
        <is>
          <t xml:space="preserve">* ĐCN( Tuấn) đã chỉnh lại sensor cân K5.
* Cân E1,E6 hay lệch, theo dõi thêm.
 </t>
        </is>
      </c>
      <c r="L118" s="58" t="n"/>
      <c r="M118" s="20" t="inlineStr">
        <is>
          <t>Ca đêm: Thái</t>
        </is>
      </c>
    </row>
    <row r="119" ht="75" customHeight="1" s="22">
      <c r="A119" s="153" t="n">
        <v>45716</v>
      </c>
      <c r="B119" s="151" t="n">
        <v>142</v>
      </c>
      <c r="C119" s="151" t="n">
        <v>28340</v>
      </c>
      <c r="D119" s="151" t="n">
        <v>139</v>
      </c>
      <c r="E119" s="151" t="n">
        <v>25022</v>
      </c>
      <c r="F119" s="151" t="n">
        <v>33713</v>
      </c>
      <c r="G119" s="151" t="n">
        <v>5152</v>
      </c>
      <c r="H119" s="151" t="n">
        <v>22886</v>
      </c>
      <c r="I119" s="142" t="n">
        <v>149</v>
      </c>
      <c r="J119" s="143" t="n">
        <v>144</v>
      </c>
      <c r="K119" s="60" t="inlineStr">
        <is>
          <t>* ĐCN(Toàn) chỉnh lại tốc độ motor ME2-15 chậm hơn, hạn chế dồn hành lý gây kẹt IND-ME2.
* L5-B2 có tiếng kêu khi khởi động, ĐCK(Thanh) đã kiểm tra hoạt động bình thường, theo dõi thêm</t>
        </is>
      </c>
      <c r="L119" s="60" t="n"/>
      <c r="M119" s="20" t="inlineStr">
        <is>
          <t>Ca ngày: K.Lâm</t>
        </is>
      </c>
    </row>
    <row r="120" ht="131.25" customHeight="1" s="22">
      <c r="A120" s="246" t="n"/>
      <c r="B120" s="246" t="n"/>
      <c r="C120" s="246" t="n"/>
      <c r="D120" s="246" t="n"/>
      <c r="E120" s="246" t="n"/>
      <c r="F120" s="246" t="n"/>
      <c r="G120" s="246" t="n"/>
      <c r="H120" s="246" t="n"/>
      <c r="I120" s="246" t="n"/>
      <c r="J120" s="246" t="n"/>
      <c r="K120" s="60" t="inlineStr">
        <is>
          <t>* 03h-04h CNTT kết nối và tích hợp thành công giữa hệ thống cMuse với phát thanh và BHS.
* Thực hiện tạo chuyến bay giả lập và thông báo qua phát thanh thành công. Thông tin BSM đã được gửi và thông báo nhận thành công nhưng trên màn hình SAC chưa hiển thị, cần kiểm tra lại dữ liệu tại BHS. 
*L6-04 bị bung móc. ca sau báo bảo trì kiểm tra.</t>
        </is>
      </c>
      <c r="L120" s="58" t="inlineStr">
        <is>
          <t>*Không có</t>
        </is>
      </c>
      <c r="M120" s="20" t="inlineStr">
        <is>
          <t>Ca đêm: Quân</t>
        </is>
      </c>
    </row>
    <row r="121" ht="48.75" customHeight="1" s="22">
      <c r="A121" s="153" t="n">
        <v>45717</v>
      </c>
      <c r="B121" s="151" t="n">
        <v>139</v>
      </c>
      <c r="C121" s="151" t="n">
        <v>26858</v>
      </c>
      <c r="D121" s="151" t="n">
        <v>138</v>
      </c>
      <c r="E121" s="151" t="n">
        <v>23884</v>
      </c>
      <c r="F121" s="151" t="n">
        <v>31389</v>
      </c>
      <c r="G121" s="151" t="n">
        <v>4689</v>
      </c>
      <c r="H121" s="151" t="inlineStr">
        <is>
          <t>22909.47</t>
        </is>
      </c>
      <c r="I121" s="142" t="n">
        <v>151</v>
      </c>
      <c r="J121" s="143" t="n">
        <v>139</v>
      </c>
      <c r="K121" s="60" t="inlineStr">
        <is>
          <t>* B/C L6-04 bị bung móc. Đã báo ĐCK kiểm tra. ĐCK thay belt, đóng lại móc đoạn L6-04.</t>
        </is>
      </c>
      <c r="L121" s="60" t="inlineStr">
        <is>
          <t xml:space="preserve">* ĐCK và ĐCN  đổi motor L2B-113 qua L1-43 (ca đêm kiểm tra chạy backup đoạn L2B-113)   </t>
        </is>
      </c>
      <c r="M121" s="20" t="inlineStr">
        <is>
          <t>Ca ngày: Hùng</t>
        </is>
      </c>
    </row>
    <row r="122" ht="56.25" customHeight="1" s="22">
      <c r="A122" s="246" t="n"/>
      <c r="B122" s="246" t="n"/>
      <c r="C122" s="246" t="n"/>
      <c r="D122" s="246" t="n"/>
      <c r="E122" s="246" t="n"/>
      <c r="F122" s="246" t="n"/>
      <c r="G122" s="246" t="n"/>
      <c r="H122" s="246" t="n"/>
      <c r="I122" s="246" t="n"/>
      <c r="J122" s="246" t="n"/>
      <c r="K122" s="60" t="inlineStr">
        <is>
          <t>* Cần gạt L6 check in lệch sensor, ĐCK + ĐCN đã chỉnh lại, hđbt.
* Đã chạy test đoạn L2B-113, hđbt.</t>
        </is>
      </c>
      <c r="L122" s="58" t="inlineStr">
        <is>
          <t>* Không có</t>
        </is>
      </c>
      <c r="M122" s="20" t="inlineStr">
        <is>
          <t>Ca đêm: Chơn.</t>
        </is>
      </c>
    </row>
    <row r="123" ht="206.25" customHeight="1" s="22">
      <c r="A123" s="153" t="n">
        <v>45718</v>
      </c>
      <c r="B123" s="151" t="n">
        <v>145</v>
      </c>
      <c r="C123" s="151" t="n">
        <v>27345</v>
      </c>
      <c r="D123" s="151" t="n">
        <v>144</v>
      </c>
      <c r="E123" s="151" t="n">
        <v>24950</v>
      </c>
      <c r="F123" s="151" t="n">
        <v>29102</v>
      </c>
      <c r="G123" s="151" t="n">
        <v>4188</v>
      </c>
      <c r="H123" s="151" t="n">
        <v>22932</v>
      </c>
      <c r="I123" s="142" t="n">
        <v>153</v>
      </c>
      <c r="J123" s="143" t="n">
        <v>137</v>
      </c>
      <c r="K123" s="60" t="inlineStr">
        <is>
          <t>* Đoạn băng chuyền L6A02 có tải chạy không nổi, ĐCK (Phúc) đã chỉnh lại hdbt.
* Cần gạt L6A01 khi gạt ra không ra hết hành trình, ĐCK (Phúc) đã kiểm tra, sẽ gia cố lại pat gắn sensor chỉnh lại sau.
* Belt L6-40 bị chùng, ĐCK (Phúc) đã chỉnh lại.
* Nút nhấn Estop băng chuyền Ovan đi M5(CS/M5-1C) bị tác động, đứt dây tín hiệu gây dừng liên động Line 5 Departure và băng chuyền Sorter, chuyển chạy chế độ MAN để khai thác. ĐCN (Lư) đã xử lý xong nút nhấn Estop, khai thác lại bình thường.
* Cần gạt L5A-01 không ra hết hành trình giống L6A01, nhờ ca ngày 3/3 báo ĐCK ktra.</t>
        </is>
      </c>
      <c r="L123" s="58" t="inlineStr">
        <is>
          <t>* Không có</t>
        </is>
      </c>
      <c r="M123" s="20" t="inlineStr">
        <is>
          <t>Ca ngày: K.Lâm</t>
        </is>
      </c>
    </row>
    <row r="124" ht="37.5" customHeight="1" s="22">
      <c r="A124" s="246" t="n"/>
      <c r="B124" s="246" t="n"/>
      <c r="C124" s="246" t="n"/>
      <c r="D124" s="246" t="n"/>
      <c r="E124" s="246" t="n"/>
      <c r="F124" s="246" t="n"/>
      <c r="G124" s="246" t="n"/>
      <c r="H124" s="246" t="n"/>
      <c r="I124" s="246" t="n"/>
      <c r="J124" s="246" t="n"/>
      <c r="K124" s="60" t="inlineStr">
        <is>
          <t>* Nhờ ca đêm báo ĐCK chỉnh lại tapi L6-40 về phía bc mes, đã báo ĐCK đã chỉnh lại.</t>
        </is>
      </c>
      <c r="L124" s="60" t="inlineStr">
        <is>
          <t>* ĐCN (Phúc) hoán đổi vị trí 2 Modul K210D và K210B cho nhau để test OH scanner, theo dõi thêm.</t>
        </is>
      </c>
      <c r="M124" s="20" t="inlineStr">
        <is>
          <t>Ca đêm: Thái</t>
        </is>
      </c>
    </row>
    <row r="125" ht="75" customHeight="1" s="22">
      <c r="A125" s="153" t="n">
        <v>45719</v>
      </c>
      <c r="B125" s="254" t="n">
        <v>137</v>
      </c>
      <c r="C125" s="254" t="n">
        <v>25871</v>
      </c>
      <c r="D125" s="254" t="n">
        <v>136</v>
      </c>
      <c r="E125" s="254" t="n">
        <v>23466</v>
      </c>
      <c r="F125" s="254" t="n">
        <v>27253</v>
      </c>
      <c r="G125" s="254" t="n">
        <v>3825</v>
      </c>
      <c r="H125" s="254" t="n">
        <v>22955</v>
      </c>
      <c r="I125" s="247" t="n">
        <v>145</v>
      </c>
      <c r="J125" s="248" t="n">
        <v>140</v>
      </c>
      <c r="K125" s="58" t="inlineStr">
        <is>
          <t>* Không có.</t>
        </is>
      </c>
      <c r="L125" s="60" t="inlineStr">
        <is>
          <t>* ĐCN (Toàn) siết lại các nút estop ovan 5.
* ĐCK (Tuấn) chỉnh cần gạt L6A-01 về đúng vị trí.
L5A-01 vẫn chưa chỉnh được, theo dõi báo lại nếu cơ khí quên.</t>
        </is>
      </c>
      <c r="M125" s="20" t="inlineStr">
        <is>
          <t>Ca ngày: Chơn.</t>
        </is>
      </c>
    </row>
    <row r="126" ht="112.5" customHeight="1" s="22">
      <c r="A126" s="246" t="n"/>
      <c r="B126" s="246" t="n"/>
      <c r="C126" s="246" t="n"/>
      <c r="D126" s="246" t="n"/>
      <c r="E126" s="246" t="n"/>
      <c r="F126" s="246" t="n"/>
      <c r="G126" s="246" t="n"/>
      <c r="H126" s="246" t="n"/>
      <c r="I126" s="246" t="n"/>
      <c r="J126" s="246" t="n"/>
      <c r="K126" s="60" t="inlineStr">
        <is>
          <t>* L1-33 bị kẹt băng tải, motor báo lỗi Inverter Fault không reset chạy được. ĐCK(Việt) đã thay tapi xong lúc 02h15(hdbt)
* 04h30 chuyển điện, reset hệ thống hdbt. 
* 03h00: Đội CNTT và nhà thầu thực hiện kiểm tra tích hợp giữa Arinc và BHS gây mất BSM của chuyến CA904 từ 02h30 đến 03h30 hành lý được phân loại dạng "dump" đổ vào RT03.</t>
        </is>
      </c>
      <c r="L126" s="58" t="inlineStr">
        <is>
          <t>* Không có.</t>
        </is>
      </c>
      <c r="M126" s="20" t="inlineStr">
        <is>
          <t>Ca đêm: K.Lâm</t>
        </is>
      </c>
    </row>
    <row r="127" ht="37.5" customHeight="1" s="22">
      <c r="A127" s="153" t="n">
        <v>45720</v>
      </c>
      <c r="B127" s="254" t="n">
        <v>139</v>
      </c>
      <c r="C127" s="254" t="n">
        <v>25296</v>
      </c>
      <c r="D127" s="254" t="n">
        <v>142</v>
      </c>
      <c r="E127" s="151" t="n">
        <v>23990</v>
      </c>
      <c r="F127" s="254" t="n">
        <v>28115</v>
      </c>
      <c r="G127" s="254" t="n">
        <v>4146</v>
      </c>
      <c r="H127" s="254" t="n">
        <v>22979</v>
      </c>
      <c r="I127" s="247" t="n">
        <v>149</v>
      </c>
      <c r="J127" s="248" t="n">
        <v>139</v>
      </c>
      <c r="K127" s="58" t="inlineStr">
        <is>
          <t>* Không có.</t>
        </is>
      </c>
      <c r="L127" s="60" t="inlineStr">
        <is>
          <t>* ĐCK gia cố khung bảo vệ cần gạt K,   cần gạt backup từ Line 5 qua line 4 CK vs Điện chưa chỉnh được.</t>
        </is>
      </c>
      <c r="M127" s="20" t="inlineStr">
        <is>
          <t>Ca ngày: Thái</t>
        </is>
      </c>
    </row>
    <row r="128">
      <c r="A128" s="246" t="n"/>
      <c r="B128" s="246" t="n"/>
      <c r="C128" s="246" t="n"/>
      <c r="D128" s="246" t="n"/>
      <c r="E128" s="246" t="n"/>
      <c r="F128" s="246" t="n"/>
      <c r="G128" s="246" t="n"/>
      <c r="H128" s="246" t="n"/>
      <c r="I128" s="246" t="n"/>
      <c r="J128" s="246" t="n"/>
      <c r="K128" s="58" t="inlineStr">
        <is>
          <t>* Không có.</t>
        </is>
      </c>
      <c r="L128" s="58" t="inlineStr">
        <is>
          <t>* Không có.</t>
        </is>
      </c>
      <c r="M128" s="20" t="inlineStr">
        <is>
          <t>Ca đêm: Chơn</t>
        </is>
      </c>
    </row>
    <row r="129">
      <c r="A129" s="153" t="n">
        <v>45721</v>
      </c>
      <c r="B129" s="254" t="n">
        <v>145</v>
      </c>
      <c r="C129" s="254" t="n">
        <v>26049</v>
      </c>
      <c r="D129" s="254" t="n">
        <v>140</v>
      </c>
      <c r="E129" s="151" t="n">
        <v>23395</v>
      </c>
      <c r="F129" s="254" t="n">
        <v>30216</v>
      </c>
      <c r="G129" s="254" t="n">
        <v>4203</v>
      </c>
      <c r="H129" s="254" t="n">
        <v>23003</v>
      </c>
      <c r="I129" s="247" t="n">
        <v>152</v>
      </c>
      <c r="J129" s="248" t="n">
        <v>140</v>
      </c>
      <c r="K129" s="58" t="inlineStr">
        <is>
          <t>* Không có.</t>
        </is>
      </c>
      <c r="L129" s="60" t="inlineStr">
        <is>
          <t>* ĐCK(Tuấn) thay rulo chủ động SM1-3.</t>
        </is>
      </c>
      <c r="M129" s="20" t="inlineStr">
        <is>
          <t>Ca ngày: K.Lâm</t>
        </is>
      </c>
    </row>
    <row r="130">
      <c r="A130" s="246" t="n"/>
      <c r="B130" s="246" t="n"/>
      <c r="C130" s="246" t="n"/>
      <c r="D130" s="246" t="n"/>
      <c r="E130" s="246" t="n"/>
      <c r="F130" s="246" t="n"/>
      <c r="G130" s="246" t="n"/>
      <c r="H130" s="246" t="n"/>
      <c r="I130" s="246" t="n"/>
      <c r="J130" s="246" t="n"/>
      <c r="K130" s="58" t="inlineStr">
        <is>
          <t>* Chuyển điện lúc 4h00, reset hoạt động bình thường.</t>
        </is>
      </c>
      <c r="L130" s="58" t="n"/>
      <c r="M130" s="20" t="inlineStr">
        <is>
          <t>Ca đêm: Thái</t>
        </is>
      </c>
    </row>
    <row r="131" ht="56.25" customHeight="1" s="22">
      <c r="A131" s="153" t="n">
        <v>45722</v>
      </c>
      <c r="B131" s="254" t="n">
        <v>135</v>
      </c>
      <c r="C131" s="254" t="n">
        <v>24661</v>
      </c>
      <c r="D131" s="254" t="n">
        <v>139</v>
      </c>
      <c r="E131" s="151" t="n">
        <v>22862</v>
      </c>
      <c r="F131" s="254" t="n">
        <v>27758</v>
      </c>
      <c r="G131" s="254" t="n">
        <v>4148</v>
      </c>
      <c r="H131" s="254" t="n">
        <v>23026</v>
      </c>
      <c r="I131" s="247" t="n">
        <v>145</v>
      </c>
      <c r="J131" s="248" t="n">
        <v>142</v>
      </c>
      <c r="K131" s="58" t="inlineStr">
        <is>
          <t>* Không có.</t>
        </is>
      </c>
      <c r="L131" s="60" t="inlineStr">
        <is>
          <t>* ĐCK (Doanh) bảo trì băng chuyền đi 1,2, 3, 5, 6.
* ĐCK (Sơn) gia cố các lá tapi Oval M3, M5.
* ĐCN (Lư) bảo trì tủ băng chuyền đến 3, 4.</t>
        </is>
      </c>
      <c r="M131" s="20" t="inlineStr">
        <is>
          <t>Ca ngày: Chơn.</t>
        </is>
      </c>
    </row>
    <row r="132" ht="37.5" customHeight="1" s="22">
      <c r="A132" s="246" t="n"/>
      <c r="B132" s="246" t="n"/>
      <c r="C132" s="246" t="n"/>
      <c r="D132" s="246" t="n"/>
      <c r="E132" s="246" t="n"/>
      <c r="F132" s="246" t="n"/>
      <c r="G132" s="246" t="n"/>
      <c r="H132" s="246" t="n"/>
      <c r="I132" s="246" t="n"/>
      <c r="J132" s="246" t="n"/>
      <c r="K132" s="58" t="inlineStr">
        <is>
          <t xml:space="preserve">* Khay 60 gãy chân, disable. </t>
        </is>
      </c>
      <c r="L132" s="60" t="inlineStr">
        <is>
          <t>* ĐCK bảo trì Ovan đi số 6 (thay lá tapi 86,91,92,104) bánh xe chịu tải trên 47.</t>
        </is>
      </c>
      <c r="M132" s="20" t="inlineStr">
        <is>
          <t>Ca đêm: K.Lâm</t>
        </is>
      </c>
    </row>
    <row r="133" ht="37.5" customHeight="1" s="22">
      <c r="A133" s="153" t="n">
        <v>45723</v>
      </c>
      <c r="B133" s="254" t="n">
        <v>141</v>
      </c>
      <c r="C133" s="254" t="n">
        <v>26761</v>
      </c>
      <c r="D133" s="254" t="n">
        <v>138</v>
      </c>
      <c r="E133" s="151" t="n">
        <v>23491</v>
      </c>
      <c r="F133" s="254" t="n">
        <v>29306</v>
      </c>
      <c r="G133" s="254" t="n">
        <v>4193</v>
      </c>
      <c r="H133" s="254" t="n">
        <v>23051</v>
      </c>
      <c r="I133" s="247" t="n">
        <v>150</v>
      </c>
      <c r="J133" s="248" t="n">
        <v>137</v>
      </c>
      <c r="K133" s="60" t="inlineStr">
        <is>
          <t>* OM0712 : Arin báo hãng ko đăng ký BSM.</t>
        </is>
      </c>
      <c r="L133" s="60" t="inlineStr">
        <is>
          <t>* ĐCN bảo trì tủ băng chuyền đến 5,6
* ĐCK bảo trì băng chuyền gom hành lý checkin 1,2,6,5</t>
        </is>
      </c>
      <c r="M133" s="20" t="inlineStr">
        <is>
          <t>Ca ngày: Thái</t>
        </is>
      </c>
    </row>
    <row r="134" ht="93.75" customHeight="1" s="22">
      <c r="A134" s="246" t="n"/>
      <c r="B134" s="246" t="n"/>
      <c r="C134" s="246" t="n"/>
      <c r="D134" s="246" t="n"/>
      <c r="E134" s="246" t="n"/>
      <c r="F134" s="246" t="n"/>
      <c r="G134" s="246" t="n"/>
      <c r="H134" s="246" t="n"/>
      <c r="I134" s="246" t="n"/>
      <c r="J134" s="246" t="n"/>
      <c r="K134" s="58" t="inlineStr">
        <is>
          <t>* Không có.</t>
        </is>
      </c>
      <c r="L134" s="60" t="inlineStr">
        <is>
          <t>* ĐCK + thay lá tapi - ovan 6: 120, 12, 113.
                                - ovan 3: 165.
            + thay bánh xe chịu tải trên ovan 6: 114, 123, 16, 1, 48, 56, 141.
            + thay bánh xe chịu tải dưới ovan 6: 81.</t>
        </is>
      </c>
      <c r="M134" s="20" t="inlineStr">
        <is>
          <t>Ca đêm: Chơn</t>
        </is>
      </c>
    </row>
    <row r="135" ht="93.75" customHeight="1" s="22">
      <c r="A135" s="153" t="n">
        <v>45724</v>
      </c>
      <c r="B135" s="254" t="n">
        <v>142</v>
      </c>
      <c r="C135" s="254" t="n">
        <v>26340</v>
      </c>
      <c r="D135" s="254" t="n">
        <v>138</v>
      </c>
      <c r="E135" s="151" t="n">
        <v>22420</v>
      </c>
      <c r="F135" s="254" t="n">
        <v>28903</v>
      </c>
      <c r="G135" s="254" t="n">
        <v>4120</v>
      </c>
      <c r="H135" s="254" t="n">
        <v>23074</v>
      </c>
      <c r="I135" s="247" t="n">
        <v>151</v>
      </c>
      <c r="J135" s="248" t="n">
        <v>138</v>
      </c>
      <c r="K135" s="60" t="inlineStr">
        <is>
          <t>* Cần gạt backup từ L6-L1 và L5-L4 đang bị hụt vị trí khi gạt ra (hay bị kẹt hành lý). Đã báo DCN(a.Đại) kết hợp vs DCK chỉnh lại sau. 
* L4-37 có tiếng kiêu to rulo chỉnh, ĐCK(Việt) đã xử lý.</t>
        </is>
      </c>
      <c r="L135" s="60" t="inlineStr">
        <is>
          <t>* ĐCK(Thanh),ĐCN(Lư) chạy test kiểm tra trước các đoạn băng chuyền backup Line 1,2,3,4.
* ĐCK(Việt) bơm mỡ motor L1-3,L1-9, L3-3, L3-9.
* L6-40 : ĐCK(Công) thay tapi khác (tapi cũ), đóng móc lại.</t>
        </is>
      </c>
      <c r="M135" s="20" t="inlineStr">
        <is>
          <t>Ca ngày: K.Lâm</t>
        </is>
      </c>
    </row>
    <row r="136" ht="37.5" customHeight="1" s="22">
      <c r="A136" s="246" t="n"/>
      <c r="B136" s="246" t="n"/>
      <c r="C136" s="246" t="n"/>
      <c r="D136" s="246" t="n"/>
      <c r="E136" s="246" t="n"/>
      <c r="F136" s="246" t="n"/>
      <c r="G136" s="246" t="n"/>
      <c r="H136" s="246" t="n"/>
      <c r="I136" s="246" t="n"/>
      <c r="J136" s="246" t="n"/>
      <c r="K136" s="60" t="inlineStr">
        <is>
          <t>* Không có.
* Cân C6 lệch 3,4 kg, theo dõi tiếp.</t>
        </is>
      </c>
      <c r="L136" s="60" t="inlineStr">
        <is>
          <t>* Không có.</t>
        </is>
      </c>
      <c r="M136" s="20" t="inlineStr">
        <is>
          <t>Ca đêm:  Thái</t>
        </is>
      </c>
    </row>
    <row r="137">
      <c r="A137" s="153" t="n">
        <v>45725</v>
      </c>
      <c r="B137" s="151" t="n">
        <v>141</v>
      </c>
      <c r="C137" s="151" t="n">
        <v>26506</v>
      </c>
      <c r="D137" s="151" t="n">
        <v>142</v>
      </c>
      <c r="E137" s="151" t="n">
        <v>23484</v>
      </c>
      <c r="F137" s="151" t="n">
        <v>28804</v>
      </c>
      <c r="G137" s="151" t="n">
        <v>4134</v>
      </c>
      <c r="H137" s="151" t="n">
        <v>23096</v>
      </c>
      <c r="I137" s="142" t="n">
        <v>148</v>
      </c>
      <c r="J137" s="143" t="n">
        <v>142</v>
      </c>
      <c r="K137" s="58" t="inlineStr">
        <is>
          <t>* Không có.</t>
        </is>
      </c>
      <c r="L137" s="58" t="inlineStr">
        <is>
          <t>* Không có.</t>
        </is>
      </c>
      <c r="M137" s="20" t="inlineStr">
        <is>
          <t>Ca ngày: Chơn.</t>
        </is>
      </c>
    </row>
    <row r="138" ht="75" customHeight="1" s="22">
      <c r="A138" s="246" t="n"/>
      <c r="B138" s="246" t="n"/>
      <c r="C138" s="246" t="n"/>
      <c r="D138" s="246" t="n"/>
      <c r="E138" s="246" t="n"/>
      <c r="F138" s="246" t="n"/>
      <c r="G138" s="246" t="n"/>
      <c r="H138" s="246" t="n"/>
      <c r="I138" s="246" t="n"/>
      <c r="J138" s="246" t="n"/>
      <c r="K138" s="60" t="inlineStr">
        <is>
          <t xml:space="preserve">* 06h00 Băng chuyền Soter bị lỗi Collision Guard Linear Motor 03, không hoạt động được. Đội vhbcqt đã chuyển hệ thống sang chế độ Backup để khai thác. Đã báo trực AOCC và TBT.
- Hiện tại hệ thống đang hoạt động bình thường ở chế độ Backup. </t>
        </is>
      </c>
      <c r="L138" s="58" t="inlineStr">
        <is>
          <t>* Không có.</t>
        </is>
      </c>
      <c r="M138" s="20" t="inlineStr">
        <is>
          <t>Ca đêm: Nhân</t>
        </is>
      </c>
    </row>
    <row r="139" ht="112.5" customHeight="1" s="22">
      <c r="A139" s="153" t="n">
        <v>45726</v>
      </c>
      <c r="B139" s="151" t="n">
        <v>138</v>
      </c>
      <c r="C139" s="151" t="n">
        <v>25420</v>
      </c>
      <c r="D139" s="151" t="n">
        <v>138</v>
      </c>
      <c r="E139" s="151" t="n">
        <v>23679</v>
      </c>
      <c r="F139" s="151" t="n">
        <v>15470</v>
      </c>
      <c r="G139" s="151" t="n">
        <v>1317</v>
      </c>
      <c r="H139" s="151" t="n">
        <v>23110</v>
      </c>
      <c r="I139" s="142" t="n">
        <v>148</v>
      </c>
      <c r="J139" s="143" t="n">
        <v>138</v>
      </c>
      <c r="K139" s="60" t="inlineStr">
        <is>
          <t>* Đã khắc phục được lỗi va chạm Linear motor, đã chuyển hệ thống sang hoạt động ở chế độ thông thường Sorter lúc 17h20.
* L2-15 thường xuyên báo Encoder fault, ĐCK( Công) đã chỉnh lại tapi, theo dõi thêm.
* Belt 2 của Induction NR2 có hành lý nặng, đã báo  ĐCK (Doanh) qua kiểm tra , xử lý sau.</t>
        </is>
      </c>
      <c r="L139" s="60" t="inlineStr">
        <is>
          <t>* Đội CK thay cart  khay 35 và chốt bánh xe chịu tải  khay 29 của sorter.
* Đội CK (Công ) thay bánh xe chịu tải trên 109, bánh xe chịu tải dưới 122 của ovan số 4.</t>
        </is>
      </c>
      <c r="M139" s="20" t="inlineStr">
        <is>
          <t>Ca ngày: Thái</t>
        </is>
      </c>
    </row>
    <row r="140" ht="78.75" customHeight="1" s="22">
      <c r="A140" s="246" t="n"/>
      <c r="B140" s="246" t="n"/>
      <c r="C140" s="246" t="n"/>
      <c r="D140" s="246" t="n"/>
      <c r="E140" s="246" t="n"/>
      <c r="F140" s="246" t="n"/>
      <c r="G140" s="246" t="n"/>
      <c r="H140" s="246" t="n"/>
      <c r="I140" s="246" t="n"/>
      <c r="J140" s="246" t="n"/>
      <c r="K140" s="60" t="inlineStr">
        <is>
          <t>* Quầy cân C-6; E-1 lệch 20-30kg, NVVH đã hiệu chỉnh nhiều lần. Quầy cân A-1 có tiếng kêu cơ khí.  Đã báo ĐCK.</t>
        </is>
      </c>
      <c r="L140" s="58" t="inlineStr">
        <is>
          <t>* Không có.</t>
        </is>
      </c>
      <c r="M140" s="20" t="inlineStr">
        <is>
          <t>Ca đêm: Chơn</t>
        </is>
      </c>
    </row>
    <row r="141" ht="56.25" customHeight="1" s="22">
      <c r="A141" s="153" t="n">
        <v>45727</v>
      </c>
      <c r="B141" s="151" t="n">
        <v>136</v>
      </c>
      <c r="C141" s="151" t="n">
        <v>23815</v>
      </c>
      <c r="D141" s="151" t="n">
        <v>136</v>
      </c>
      <c r="E141" s="151" t="n">
        <v>22171</v>
      </c>
      <c r="F141" s="151" t="n">
        <v>27621</v>
      </c>
      <c r="G141" s="151" t="n">
        <v>4102</v>
      </c>
      <c r="H141" s="151" t="n">
        <v>23133</v>
      </c>
      <c r="I141" s="142" t="n">
        <v>150</v>
      </c>
      <c r="J141" s="143" t="n">
        <v>141</v>
      </c>
      <c r="K141" s="58" t="inlineStr">
        <is>
          <t>* Không có.</t>
        </is>
      </c>
      <c r="L141" s="60" t="inlineStr">
        <is>
          <t>* ĐCK (Tuấn) chỉnh lại pat chống kẹt của cân A1.
* ĐCK (Tuấn) kiểm tra siết lại loadcell của cân A6, ca sau theo dõi thêm.</t>
        </is>
      </c>
      <c r="M141" s="20" t="inlineStr">
        <is>
          <t>Ca ngày: Nhân</t>
        </is>
      </c>
    </row>
    <row r="142">
      <c r="A142" s="246" t="n"/>
      <c r="B142" s="246" t="n"/>
      <c r="C142" s="246" t="n"/>
      <c r="D142" s="246" t="n"/>
      <c r="E142" s="246" t="n"/>
      <c r="F142" s="246" t="n"/>
      <c r="G142" s="246" t="n"/>
      <c r="H142" s="246" t="n"/>
      <c r="I142" s="246" t="n"/>
      <c r="J142" s="246" t="n"/>
      <c r="K142" s="60" t="inlineStr">
        <is>
          <t>* Cân C6 tiếp tục lệch ký.</t>
        </is>
      </c>
      <c r="L142" s="58" t="n"/>
      <c r="M142" s="20" t="inlineStr">
        <is>
          <t>Ca đêm: Thái</t>
        </is>
      </c>
    </row>
    <row r="143" ht="56.25" customHeight="1" s="22">
      <c r="A143" s="153" t="n">
        <v>45728</v>
      </c>
      <c r="B143" s="151" t="n">
        <v>143</v>
      </c>
      <c r="C143" s="151" t="n">
        <v>24687</v>
      </c>
      <c r="D143" s="151" t="n">
        <v>139</v>
      </c>
      <c r="E143" s="151" t="n">
        <v>23050</v>
      </c>
      <c r="F143" s="151" t="n">
        <v>29686</v>
      </c>
      <c r="G143" s="151" t="n">
        <v>4081</v>
      </c>
      <c r="H143" s="151" t="n">
        <v>23157</v>
      </c>
      <c r="I143" s="142" t="n">
        <v>146</v>
      </c>
      <c r="J143" s="143" t="n">
        <v>140</v>
      </c>
      <c r="K143" s="58" t="n"/>
      <c r="L143" s="60" t="inlineStr">
        <is>
          <t>* ĐCK (Việt) thay loadcell, hộp box quầy cân C6; thay màn hình chính quầy cân E1
* ĐCN (Lư) siết nút estop băng chuyền đến số 8.</t>
        </is>
      </c>
      <c r="M143" s="20" t="inlineStr">
        <is>
          <t>Ca ngày: Chơn.</t>
        </is>
      </c>
    </row>
    <row r="144">
      <c r="A144" s="246" t="n"/>
      <c r="B144" s="246" t="n"/>
      <c r="C144" s="246" t="n"/>
      <c r="D144" s="246" t="n"/>
      <c r="E144" s="246" t="n"/>
      <c r="F144" s="246" t="n"/>
      <c r="G144" s="246" t="n"/>
      <c r="H144" s="246" t="n"/>
      <c r="I144" s="246" t="n"/>
      <c r="J144" s="246" t="n"/>
      <c r="K144" s="60" t="inlineStr">
        <is>
          <t>* Mở lại khay 138, hoạt động bình thường, theo dõi thêm.</t>
        </is>
      </c>
      <c r="L144" s="58" t="inlineStr">
        <is>
          <t>* Không có.</t>
        </is>
      </c>
      <c r="M144" s="20" t="inlineStr">
        <is>
          <t>Ca đêm: K.Lâm</t>
        </is>
      </c>
    </row>
    <row r="145" ht="112.5" customHeight="1" s="22">
      <c r="A145" s="153" t="n">
        <v>45729</v>
      </c>
      <c r="B145" s="151" t="n">
        <v>139</v>
      </c>
      <c r="C145" s="151" t="n">
        <v>24153</v>
      </c>
      <c r="D145" s="151" t="n">
        <v>140</v>
      </c>
      <c r="E145" s="151" t="n">
        <v>22231</v>
      </c>
      <c r="F145" s="151" t="n">
        <v>22729</v>
      </c>
      <c r="G145" s="151" t="n">
        <v>3723</v>
      </c>
      <c r="H145" s="151" t="n">
        <v>23176</v>
      </c>
      <c r="I145" s="142" t="n">
        <v>146</v>
      </c>
      <c r="J145" s="143" t="n">
        <v>139</v>
      </c>
      <c r="K145" s="60" t="inlineStr">
        <is>
          <t>* Khay 113 bung chốt bánh xe chịu tải, khay bị xệ, va chạm Linear motor 07 gây dừng Sorter. Đội chuyển sang hoạt động ở chế dộ Backup để đảm bảo khai thác. Đã báo AOCC, TBT.
* ĐCK đã khắc phục lỗi xệ khay gây va chạm Linear motor, siết lại ốc, bulong bánh xe chịu tải. Đã chuyển hệ thống sang chế độ hoạt động thông thường (Sorter) lúc 16h15.</t>
        </is>
      </c>
      <c r="L145" s="58" t="inlineStr">
        <is>
          <t>* Không có.</t>
        </is>
      </c>
      <c r="M145" s="20" t="inlineStr">
        <is>
          <t>Ca ngày: Nhân</t>
        </is>
      </c>
    </row>
    <row r="146" ht="38.25" customHeight="1" s="22">
      <c r="A146" s="246" t="n"/>
      <c r="B146" s="246" t="n"/>
      <c r="C146" s="246" t="n"/>
      <c r="D146" s="246" t="n"/>
      <c r="E146" s="246" t="n"/>
      <c r="F146" s="246" t="n"/>
      <c r="G146" s="246" t="n"/>
      <c r="H146" s="246" t="n"/>
      <c r="I146" s="246" t="n"/>
      <c r="J146" s="246" t="n"/>
      <c r="K146" s="58" t="n"/>
      <c r="L146" s="58" t="n"/>
      <c r="M146" s="20" t="inlineStr">
        <is>
          <t>Ca đêm: Chơn</t>
        </is>
      </c>
    </row>
    <row r="147" ht="56.25" customHeight="1" s="22">
      <c r="A147" s="153" t="n">
        <v>45730</v>
      </c>
      <c r="B147" s="151" t="n">
        <v>140</v>
      </c>
      <c r="C147" s="151" t="n">
        <v>25286</v>
      </c>
      <c r="D147" s="151" t="n">
        <v>139</v>
      </c>
      <c r="E147" s="151" t="n">
        <v>23463</v>
      </c>
      <c r="F147" s="151" t="n">
        <v>28567</v>
      </c>
      <c r="G147" s="151" t="n">
        <v>4572</v>
      </c>
      <c r="H147" s="151" t="n">
        <v>23200</v>
      </c>
      <c r="I147" s="142" t="n">
        <v>148</v>
      </c>
      <c r="J147" s="143" t="n">
        <v>143</v>
      </c>
      <c r="K147" s="60" t="inlineStr">
        <is>
          <t>* Không có.</t>
        </is>
      </c>
      <c r="L147" s="60" t="inlineStr">
        <is>
          <t>* ĐCK thay 4 Loadcell và Box quầy cân E1
* ĐCK(Trung) thay lá tapi: Ovan đi số 6 (lá số 26,95),Ovan đi số 1 (lá số 51).</t>
        </is>
      </c>
      <c r="M147" s="20" t="inlineStr">
        <is>
          <t>Ca ngày: K.Lâm</t>
        </is>
      </c>
    </row>
    <row r="148">
      <c r="A148" s="246" t="n"/>
      <c r="B148" s="246" t="n"/>
      <c r="C148" s="246" t="n"/>
      <c r="D148" s="246" t="n"/>
      <c r="E148" s="246" t="n"/>
      <c r="F148" s="246" t="n"/>
      <c r="G148" s="246" t="n"/>
      <c r="H148" s="246" t="n"/>
      <c r="I148" s="246" t="n"/>
      <c r="J148" s="246" t="n"/>
      <c r="K148" s="60" t="inlineStr">
        <is>
          <t>* Không có.</t>
        </is>
      </c>
      <c r="L148" s="60" t="inlineStr">
        <is>
          <t>* Không có.</t>
        </is>
      </c>
      <c r="M148" s="20" t="inlineStr">
        <is>
          <t>Ca đêm: Thái</t>
        </is>
      </c>
    </row>
    <row r="149" ht="66.75" customHeight="1" s="22">
      <c r="A149" s="153" t="n">
        <v>45731</v>
      </c>
      <c r="B149" s="151" t="n">
        <v>140</v>
      </c>
      <c r="C149" s="151" t="n">
        <v>25068</v>
      </c>
      <c r="D149" s="151" t="n">
        <v>138</v>
      </c>
      <c r="E149" s="151" t="n">
        <v>22583</v>
      </c>
      <c r="F149" s="151" t="n">
        <v>27541</v>
      </c>
      <c r="G149" s="151" t="n">
        <v>4189</v>
      </c>
      <c r="H149" s="151" t="n">
        <v>23223</v>
      </c>
      <c r="I149" s="142" t="n">
        <v>140</v>
      </c>
      <c r="J149" s="143" t="n">
        <v>142</v>
      </c>
      <c r="K149" s="60" t="inlineStr">
        <is>
          <t>* B/c L6-03 lệch sensor. ĐCN(Toàn) đã chỉnh lại.
* B/c L6-30 bị chùn. ĐCK đã kiểm tra, căng chỉnh. hđbt</t>
        </is>
      </c>
      <c r="L149" s="60" t="inlineStr">
        <is>
          <t>* ĐCK(Công) thay rulo chủ động L3-31
* ĐCN bảo trì tủ điện departure L1,L2</t>
        </is>
      </c>
      <c r="M149" s="20" t="inlineStr">
        <is>
          <t>Ca ngày: Hùng</t>
        </is>
      </c>
    </row>
    <row r="150">
      <c r="A150" s="246" t="n"/>
      <c r="B150" s="246" t="n"/>
      <c r="C150" s="246" t="n"/>
      <c r="D150" s="246" t="n"/>
      <c r="E150" s="246" t="n"/>
      <c r="F150" s="246" t="n"/>
      <c r="G150" s="246" t="n"/>
      <c r="H150" s="246" t="n"/>
      <c r="I150" s="246" t="n"/>
      <c r="J150" s="246" t="n"/>
      <c r="K150" s="58" t="inlineStr">
        <is>
          <t>* Khay 17 mất bánh xe, disable.</t>
        </is>
      </c>
      <c r="L150" s="58" t="inlineStr">
        <is>
          <t>* Không có.</t>
        </is>
      </c>
      <c r="M150" s="20" t="inlineStr">
        <is>
          <t>Ca đêm: K.Lâm</t>
        </is>
      </c>
    </row>
    <row r="151">
      <c r="A151" s="153" t="n">
        <v>45732</v>
      </c>
      <c r="B151" s="151" t="n">
        <v>140</v>
      </c>
      <c r="C151" s="151" t="n">
        <v>24800</v>
      </c>
      <c r="D151" s="151" t="n">
        <v>139</v>
      </c>
      <c r="E151" s="151" t="n">
        <v>22737</v>
      </c>
      <c r="F151" s="151" t="n">
        <v>27247</v>
      </c>
      <c r="G151" s="151" t="n">
        <v>4115</v>
      </c>
      <c r="H151" s="151" t="n">
        <v>23241</v>
      </c>
      <c r="I151" s="142" t="n">
        <v>147</v>
      </c>
      <c r="J151" s="143" t="n">
        <v>137</v>
      </c>
      <c r="K151" s="70" t="n"/>
      <c r="L151" s="60" t="n"/>
      <c r="M151" s="20" t="inlineStr">
        <is>
          <t>Ca ngày: Thái</t>
        </is>
      </c>
    </row>
    <row r="152" ht="96" customHeight="1" s="22">
      <c r="A152" s="246" t="n"/>
      <c r="B152" s="246" t="n"/>
      <c r="C152" s="246" t="n"/>
      <c r="D152" s="246" t="n"/>
      <c r="E152" s="246" t="n"/>
      <c r="F152" s="246" t="n"/>
      <c r="G152" s="246" t="n"/>
      <c r="H152" s="246" t="n"/>
      <c r="I152" s="246" t="n"/>
      <c r="J152" s="246" t="n"/>
      <c r="K152" s="70" t="inlineStr">
        <is>
          <t xml:space="preserve">* Đứt belt số 12 của IND 2. Đã báo ĐCK.
* Lúc 1h40 ngày 17/03/2025. Chuyển Backup hệ thống BHS để bảo trì định kỳ Sorter (theo tờ trình số 136/TTr-CHKQTTSN-KTG). Đã thông báo PVHL Viags, Sags. AOCC, TBT, KHB.
</t>
        </is>
      </c>
      <c r="L152" s="58" t="n"/>
      <c r="M152" s="20" t="inlineStr">
        <is>
          <t>Ca đêm: Hùng</t>
        </is>
      </c>
    </row>
    <row r="153" ht="75" customHeight="1" s="22">
      <c r="A153" s="153" t="n">
        <v>45733</v>
      </c>
      <c r="B153" s="151" t="n">
        <v>136</v>
      </c>
      <c r="C153" s="151" t="n">
        <v>24173</v>
      </c>
      <c r="D153" s="151" t="n">
        <v>136</v>
      </c>
      <c r="E153" s="151" t="n">
        <v>22743</v>
      </c>
      <c r="F153" s="151" t="inlineStr">
        <is>
          <t>Back up</t>
        </is>
      </c>
      <c r="G153" s="151" t="inlineStr">
        <is>
          <t>Back up</t>
        </is>
      </c>
      <c r="H153" s="151" t="inlineStr">
        <is>
          <t>Back up</t>
        </is>
      </c>
      <c r="I153" s="142" t="n">
        <v>200</v>
      </c>
      <c r="J153" s="143" t="n">
        <v>140</v>
      </c>
      <c r="K153" s="71" t="inlineStr">
        <is>
          <t>* Không có.</t>
        </is>
      </c>
      <c r="L153" s="60" t="inlineStr">
        <is>
          <t xml:space="preserve">* ĐCK(Doanh) vệ sinh  IND4. Thay 20belt gân dẫn hướng của đoạn băng chuyền 1(IND4).
* ĐCN (Phúc) bảo trì tủ Sorter,chỉnh lại Conllision Guard LM07.   </t>
        </is>
      </c>
      <c r="M153" s="20" t="inlineStr">
        <is>
          <t>Ca ngày: K.Lâm</t>
        </is>
      </c>
    </row>
    <row r="154" ht="56.25" customHeight="1" s="22">
      <c r="A154" s="246" t="n"/>
      <c r="B154" s="246" t="n"/>
      <c r="C154" s="246" t="n"/>
      <c r="D154" s="246" t="n"/>
      <c r="E154" s="246" t="n"/>
      <c r="F154" s="246" t="n"/>
      <c r="G154" s="246" t="n"/>
      <c r="H154" s="246" t="n"/>
      <c r="I154" s="246" t="n"/>
      <c r="J154" s="246" t="n"/>
      <c r="K154" s="71" t="inlineStr">
        <is>
          <t xml:space="preserve">* IT đã test SIT giữa cMuse và BHS, đã báo hoạt động bình thường.
</t>
        </is>
      </c>
      <c r="L154" s="58" t="inlineStr">
        <is>
          <t>* Không có.</t>
        </is>
      </c>
      <c r="M154" s="20" t="inlineStr">
        <is>
          <t>Ca đêm: Thái</t>
        </is>
      </c>
    </row>
    <row r="155" ht="131.25" customHeight="1" s="22">
      <c r="A155" s="153" t="n">
        <v>45734</v>
      </c>
      <c r="B155" s="151" t="n">
        <v>141</v>
      </c>
      <c r="C155" s="151" t="n">
        <v>23854</v>
      </c>
      <c r="D155" s="151" t="n">
        <v>140</v>
      </c>
      <c r="E155" s="151" t="n">
        <v>22221</v>
      </c>
      <c r="F155" s="151" t="inlineStr">
        <is>
          <t>Back up</t>
        </is>
      </c>
      <c r="G155" s="151" t="inlineStr">
        <is>
          <t>Back up</t>
        </is>
      </c>
      <c r="H155" s="151" t="inlineStr">
        <is>
          <t>Back up</t>
        </is>
      </c>
      <c r="I155" s="142" t="n">
        <v>142</v>
      </c>
      <c r="J155" s="143" t="n">
        <v>138</v>
      </c>
      <c r="K155" s="71" t="inlineStr">
        <is>
          <t>* Không có.</t>
        </is>
      </c>
      <c r="L155" s="60" t="inlineStr">
        <is>
          <t xml:space="preserve">* CK căng chỉnh belt, thay 20 belt vệ sinh Induction 1. Siết lục giác bạc đạn rulo bị động L1-41.
* CK căng chỉnh Induction 4 và 3 Puli của dây số 4,9,17.
* ĐCK (Duy)  kiểm tra khay 41 (thay 2 bánh xe kích lật, Card Nhôm), khay 46 (thay 2 chân &amp; bánh xe kích lật).
* CK phối hợp đội Điện kiểm tra LM03. Kiểm tra, vệ sinh, tra keo Loctile cho bánh xe chịu tải các khay 116,117. </t>
        </is>
      </c>
      <c r="M155" s="20" t="inlineStr">
        <is>
          <t>Ca ngày: Vũ</t>
        </is>
      </c>
    </row>
    <row r="156" ht="131.25" customHeight="1" s="22">
      <c r="A156" s="246" t="n"/>
      <c r="B156" s="246" t="n"/>
      <c r="C156" s="246" t="n"/>
      <c r="D156" s="246" t="n"/>
      <c r="E156" s="246" t="n"/>
      <c r="F156" s="246" t="n"/>
      <c r="G156" s="246" t="n"/>
      <c r="H156" s="246" t="n"/>
      <c r="I156" s="246" t="n"/>
      <c r="J156" s="246" t="n"/>
      <c r="K156" s="71" t="inlineStr">
        <is>
          <t xml:space="preserve">* Máy lạnh phòng máy soi HQ b/c đến A6 giàn lạnh bị chảy nước. Đã OFF nguồn máy lạnh, báo trực HQ(c.Thủy) liên hệ kỹ thuật xử lý.
* Tấm ốp inox thành sàn công vụ(sau quầy cân G1) bung mối hàn. Đã báo ĐCK(Sơn)
</t>
        </is>
      </c>
      <c r="L156" s="58" t="inlineStr">
        <is>
          <t>* Không có.</t>
        </is>
      </c>
      <c r="M156" s="20" t="inlineStr">
        <is>
          <t>Ca đêm: K.Lâm</t>
        </is>
      </c>
    </row>
    <row r="157" ht="276" customHeight="1" s="22">
      <c r="A157" s="153" t="n">
        <v>45735</v>
      </c>
      <c r="B157" s="151" t="n">
        <v>144</v>
      </c>
      <c r="C157" s="151" t="n">
        <v>25182</v>
      </c>
      <c r="D157" s="151" t="n">
        <v>140</v>
      </c>
      <c r="E157" s="151" t="n">
        <v>21804</v>
      </c>
      <c r="F157" s="151" t="inlineStr">
        <is>
          <t>Back up</t>
        </is>
      </c>
      <c r="G157" s="151" t="inlineStr">
        <is>
          <t>Back up</t>
        </is>
      </c>
      <c r="H157" s="151" t="inlineStr">
        <is>
          <t>Back up</t>
        </is>
      </c>
      <c r="I157" s="142" t="n">
        <v>148</v>
      </c>
      <c r="J157" s="143" t="n">
        <v>136</v>
      </c>
      <c r="K157" s="71" t="inlineStr">
        <is>
          <t>* Quầy cân G5 lệch kg, đã calib.</t>
        </is>
      </c>
      <c r="L157" s="60" t="inlineStr">
        <is>
          <t>* ĐCK (Phúc) siết bánh xe khay 59, thay tilting device khay 60, 110.
* ĐCK (Việt) thay 20 belt, 2 puli của dây số 6, 15 của Ind 5; thay dây belt 2, 3, 7, 9, 11, 12, 14, 17, 19 của Ind 2.
* ĐCK (Thanh) thay băng tải gân số 6, 7, vệ sinh induction No-read 2.
* ĐCK (Trương) gia công làm phẳng lại Chute No-read.
* ĐCK (Thắng) bảo trì bánh xe chịu tải, bánh xe chuyển hướng, bánh xe kích lật từ 113 đến 147 và 24, 25, 26; hàn gắn lại tấm inox thành sàn công vụ sau quầy cân G1.</t>
        </is>
      </c>
      <c r="M157" s="20" t="inlineStr">
        <is>
          <t>Ca ngày: Nhân</t>
        </is>
      </c>
    </row>
    <row r="158" ht="52.5" customHeight="1" s="22">
      <c r="A158" s="246" t="n"/>
      <c r="B158" s="246" t="n"/>
      <c r="C158" s="246" t="n"/>
      <c r="D158" s="246" t="n"/>
      <c r="E158" s="246" t="n"/>
      <c r="F158" s="246" t="n"/>
      <c r="G158" s="246" t="n"/>
      <c r="H158" s="246" t="n"/>
      <c r="I158" s="246" t="n"/>
      <c r="J158" s="246" t="n"/>
      <c r="K158" s="71" t="inlineStr">
        <is>
          <t>* Quầy cân G10 chập chờn không phóng hành lý ra được. ĐCK(Danh) và ĐCN(Lư) đã kiểm tra và chỉnh lại sensor.hdbt</t>
        </is>
      </c>
      <c r="L158" s="58" t="inlineStr">
        <is>
          <t>* Không có.</t>
        </is>
      </c>
      <c r="M158" s="20" t="inlineStr">
        <is>
          <t>Ca đêm: Thái</t>
        </is>
      </c>
    </row>
    <row r="159" ht="112.5" customHeight="1" s="22">
      <c r="A159" s="153" t="n">
        <v>45736</v>
      </c>
      <c r="B159" s="151" t="n">
        <v>139</v>
      </c>
      <c r="C159" s="151" t="n">
        <v>25582</v>
      </c>
      <c r="D159" s="151" t="n">
        <v>140</v>
      </c>
      <c r="E159" s="151" t="n">
        <v>22394</v>
      </c>
      <c r="F159" s="151" t="inlineStr">
        <is>
          <t>Back up</t>
        </is>
      </c>
      <c r="G159" s="151" t="inlineStr">
        <is>
          <t>Back up</t>
        </is>
      </c>
      <c r="H159" s="151" t="inlineStr">
        <is>
          <t>Back up</t>
        </is>
      </c>
      <c r="I159" s="142" t="n">
        <v>150</v>
      </c>
      <c r="J159" s="143" t="n">
        <v>131</v>
      </c>
      <c r="K159" s="71" t="inlineStr">
        <is>
          <t xml:space="preserve">* L3-14 motor có tiếng kêu chỗ cánh quạt. Đã báo ĐCK kiểm tra.
* ĐCK (Sơn) nhờ chạy test sorter sau khi hết chuyến đêm nay &amp; ghi nhận lỗi phát sinh(nếu có). Khi chuyển lại backup, cho dừng khay tại vị trí như hiện tại, mai ĐCK tiếp tục bảo trì.
</t>
        </is>
      </c>
      <c r="L159" s="60" t="inlineStr">
        <is>
          <t xml:space="preserve"> * ĐCK(Việt) thay 03 dây belt gân dẫn hướng mới (IND-ME2), thay 06 dây belt gân dẫn hướng cũ (IND-ME2).
* ĐCK(Phúc) kiểm tra,siết ốc bánh xe chịu tải Sorter các khay từ 43 đến 95. Thay 01 Card nhôm mới khay 94.</t>
        </is>
      </c>
      <c r="M159" s="20" t="inlineStr">
        <is>
          <t>Ca ngày: K.Lâm</t>
        </is>
      </c>
    </row>
    <row r="160">
      <c r="A160" s="246" t="n"/>
      <c r="B160" s="246" t="n"/>
      <c r="C160" s="246" t="n"/>
      <c r="D160" s="246" t="n"/>
      <c r="E160" s="246" t="n"/>
      <c r="F160" s="246" t="n"/>
      <c r="G160" s="246" t="n"/>
      <c r="H160" s="246" t="n"/>
      <c r="I160" s="246" t="n"/>
      <c r="J160" s="246" t="n"/>
      <c r="K160" s="71" t="inlineStr">
        <is>
          <t>* 1h00 chạy test Sorter =&gt; Hệ thống hoạt động bình thường.</t>
        </is>
      </c>
      <c r="L160" s="58" t="inlineStr">
        <is>
          <t>* Không có.</t>
        </is>
      </c>
      <c r="M160" s="20" t="inlineStr">
        <is>
          <t>Ca đêm: Vũ</t>
        </is>
      </c>
    </row>
    <row r="161" ht="166.5" customHeight="1" s="22">
      <c r="A161" s="153" t="n">
        <v>45737</v>
      </c>
      <c r="B161" s="151" t="n">
        <v>145</v>
      </c>
      <c r="C161" s="151" t="n">
        <v>26047</v>
      </c>
      <c r="D161" s="151" t="n">
        <v>140</v>
      </c>
      <c r="E161" s="151" t="n">
        <v>22753</v>
      </c>
      <c r="F161" s="151" t="n"/>
      <c r="G161" s="151" t="n"/>
      <c r="H161" s="151" t="n"/>
      <c r="I161" s="142" t="n">
        <v>152</v>
      </c>
      <c r="J161" s="143" t="n">
        <v>138</v>
      </c>
      <c r="K161" s="71" t="inlineStr">
        <is>
          <t>* ĐCK siết lại các bánh xe chịu tải.</t>
        </is>
      </c>
      <c r="L161" s="60" t="inlineStr">
        <is>
          <t>* ĐCK (Phúc) thay rulo chỉnh đoạn TR2-4
* ĐCN (Lư) vệ sinh kiểm tra, đo bộ nguồn các tủ Induction, thay lưới lọc quạt giải nhiệt L5, L6, ME2. kiểm tra que Chute Noread, 5.
* ĐCK (Long) siết bánh xe chịu tải sorter từ khay số 95 tới 130, khay 96 tới khay số 11, thay cart nhôm khay 95, 144, 145.</t>
        </is>
      </c>
      <c r="M161" s="20" t="inlineStr">
        <is>
          <t>Ca ngày: Nhân</t>
        </is>
      </c>
    </row>
    <row r="162" ht="93.75" customHeight="1" s="22">
      <c r="A162" s="246" t="n"/>
      <c r="B162" s="246" t="n"/>
      <c r="C162" s="246" t="n"/>
      <c r="D162" s="246" t="n"/>
      <c r="E162" s="246" t="n"/>
      <c r="F162" s="246" t="n"/>
      <c r="G162" s="246" t="n"/>
      <c r="H162" s="246" t="n"/>
      <c r="I162" s="246" t="n"/>
      <c r="J162" s="246" t="n"/>
      <c r="K162" s="60" t="inlineStr">
        <is>
          <t>* Lúc 02h00 ngày 22/03/2025. Chuyển hệ thống BHS chạy lại Sorter (theo tờ trình số 136/TTr-CHKQTTSN-KTG). Đã thông báo PVHL Viags, Sags, AOCC, TBT, KHB. Hệ thống hdbt.
* Chuyển điện 02 lần lúc 03h45,04h20. reset hdbt.
* Khay 17 mất bánh xe, disable</t>
        </is>
      </c>
      <c r="L162" s="58" t="inlineStr">
        <is>
          <t>* Không có.</t>
        </is>
      </c>
      <c r="M162" s="20" t="inlineStr">
        <is>
          <t>Ca đêm: K.Lâm</t>
        </is>
      </c>
    </row>
    <row r="163" ht="166.5" customHeight="1" s="22">
      <c r="A163" s="153" t="n">
        <v>45738</v>
      </c>
      <c r="B163" s="151" t="n">
        <v>141</v>
      </c>
      <c r="C163" s="151" t="n">
        <v>25433</v>
      </c>
      <c r="D163" s="151" t="n">
        <v>138</v>
      </c>
      <c r="E163" s="151" t="n">
        <v>21987</v>
      </c>
      <c r="F163" s="151" t="n">
        <v>27297</v>
      </c>
      <c r="G163" s="151" t="n">
        <v>4353</v>
      </c>
      <c r="H163" s="151" t="n">
        <v>23270</v>
      </c>
      <c r="I163" s="142" t="n">
        <v>148</v>
      </c>
      <c r="J163" s="143" t="n">
        <v>138</v>
      </c>
      <c r="K163" s="60" t="inlineStr">
        <is>
          <t>* Khay 17 đã thay bánh xe, enable
* ĐCK đã chỉnh lại tapi L6A02, theo dõi tiếp.</t>
        </is>
      </c>
      <c r="L163" s="58" t="inlineStr">
        <is>
          <t>* Không có.</t>
        </is>
      </c>
      <c r="M163" s="20" t="inlineStr">
        <is>
          <t>Ca ngày: Thái</t>
        </is>
      </c>
    </row>
    <row r="164">
      <c r="A164" s="246" t="n"/>
      <c r="B164" s="246" t="n"/>
      <c r="C164" s="246" t="n"/>
      <c r="D164" s="246" t="n"/>
      <c r="E164" s="246" t="n"/>
      <c r="F164" s="246" t="n"/>
      <c r="G164" s="246" t="n"/>
      <c r="H164" s="246" t="n"/>
      <c r="I164" s="246" t="n"/>
      <c r="J164" s="246" t="n"/>
      <c r="K164" s="60" t="n"/>
      <c r="L164" s="58" t="inlineStr">
        <is>
          <t>* Không có.</t>
        </is>
      </c>
      <c r="M164" s="20" t="inlineStr">
        <is>
          <t>Ca đêm: Hùng</t>
        </is>
      </c>
    </row>
    <row r="165">
      <c r="A165" s="153" t="n">
        <v>45739</v>
      </c>
      <c r="B165" s="151" t="n">
        <v>143</v>
      </c>
      <c r="C165" s="151" t="n">
        <v>25738</v>
      </c>
      <c r="D165" s="151" t="n">
        <v>142</v>
      </c>
      <c r="E165" s="151" t="n">
        <v>23392</v>
      </c>
      <c r="F165" s="151" t="n">
        <v>27424</v>
      </c>
      <c r="G165" s="151" t="n">
        <v>4425</v>
      </c>
      <c r="H165" s="151" t="n">
        <v>23293</v>
      </c>
      <c r="I165" s="142" t="n">
        <v>145</v>
      </c>
      <c r="J165" s="143" t="n">
        <v>139</v>
      </c>
      <c r="K165" s="60" t="inlineStr">
        <is>
          <t>* Khay 59 hay báo mất bánh xe liên tục, disable.</t>
        </is>
      </c>
      <c r="L165" s="58" t="inlineStr">
        <is>
          <t>* Không có.</t>
        </is>
      </c>
      <c r="M165" s="20" t="inlineStr">
        <is>
          <t>Ca ngày: K.Lâm</t>
        </is>
      </c>
    </row>
    <row r="166">
      <c r="A166" s="246" t="n"/>
      <c r="B166" s="246" t="n"/>
      <c r="C166" s="246" t="n"/>
      <c r="D166" s="246" t="n"/>
      <c r="E166" s="246" t="n"/>
      <c r="F166" s="246" t="n"/>
      <c r="G166" s="246" t="n"/>
      <c r="H166" s="246" t="n"/>
      <c r="I166" s="246" t="n"/>
      <c r="J166" s="246" t="n"/>
      <c r="K166" s="60" t="inlineStr">
        <is>
          <t>*Đã thay 2 bánh xe khay 59, theo dõi tiếp.</t>
        </is>
      </c>
      <c r="L166" s="58" t="n"/>
      <c r="M166" s="20" t="inlineStr">
        <is>
          <t>Ca đêm: Thái</t>
        </is>
      </c>
    </row>
    <row r="167" ht="75" customHeight="1" s="22">
      <c r="A167" s="153" t="n">
        <v>45740</v>
      </c>
      <c r="B167" s="151" t="n">
        <v>135</v>
      </c>
      <c r="C167" s="151" t="n">
        <v>24071</v>
      </c>
      <c r="D167" s="151" t="n">
        <v>136</v>
      </c>
      <c r="E167" s="151" t="n">
        <v>21411</v>
      </c>
      <c r="F167" s="151" t="n">
        <v>26703</v>
      </c>
      <c r="G167" s="151" t="n">
        <v>4539</v>
      </c>
      <c r="H167" s="151" t="n">
        <v>23317</v>
      </c>
      <c r="I167" s="142" t="n">
        <v>146</v>
      </c>
      <c r="J167" s="143" t="n">
        <v>143</v>
      </c>
      <c r="K167" s="60" t="inlineStr">
        <is>
          <t>* Khay 59 vẫn báo mất bánh xe liên tục, disable.</t>
        </is>
      </c>
      <c r="L167" s="60" t="inlineStr">
        <is>
          <t xml:space="preserve">* ĐCN (Phúc) bảo trì tủ điện đảo CD checkin.
* ĐCK (Sơn) thay loadcell quầy cân E5 (lấy từ QN), trả lại loadcell cho quầy cân E10.
</t>
        </is>
      </c>
      <c r="M167" s="20" t="inlineStr">
        <is>
          <t>Ca ngày: Hùng</t>
        </is>
      </c>
    </row>
    <row r="168">
      <c r="A168" s="246" t="n"/>
      <c r="B168" s="246" t="n"/>
      <c r="C168" s="246" t="n"/>
      <c r="D168" s="246" t="n"/>
      <c r="E168" s="246" t="n"/>
      <c r="F168" s="246" t="n"/>
      <c r="G168" s="246" t="n"/>
      <c r="H168" s="246" t="n"/>
      <c r="I168" s="246" t="n"/>
      <c r="J168" s="246" t="n"/>
      <c r="K168" s="60" t="inlineStr">
        <is>
          <t>* Không có.</t>
        </is>
      </c>
      <c r="L168" s="58" t="inlineStr">
        <is>
          <t>* Không có.</t>
        </is>
      </c>
      <c r="M168" s="20" t="inlineStr">
        <is>
          <t>Ca đêm: K.Lâm</t>
        </is>
      </c>
    </row>
    <row r="169" ht="56.25" customHeight="1" s="22">
      <c r="A169" s="153" t="n">
        <v>45741</v>
      </c>
      <c r="B169" s="151" t="n">
        <v>142</v>
      </c>
      <c r="C169" s="151" t="n">
        <v>24039</v>
      </c>
      <c r="D169" s="151" t="n">
        <v>141</v>
      </c>
      <c r="E169" s="151" t="n">
        <v>21664</v>
      </c>
      <c r="F169" s="151" t="n">
        <v>28035</v>
      </c>
      <c r="G169" s="151" t="n">
        <v>4313</v>
      </c>
      <c r="H169" s="151" t="n">
        <v>23341</v>
      </c>
      <c r="I169" s="142" t="n">
        <v>149</v>
      </c>
      <c r="J169" s="143" t="n">
        <v>136</v>
      </c>
      <c r="K169" s="60" t="inlineStr">
        <is>
          <t>* Không có.</t>
        </is>
      </c>
      <c r="L169" s="60" t="inlineStr">
        <is>
          <t>* ĐCK (Danh) thay băng tải đoạn L3B-101.
* ĐCN (Toàn) thay sensor băng chuyền L4-4, bảo trì tủ checkin đảo EF.</t>
        </is>
      </c>
      <c r="M169" s="20" t="inlineStr">
        <is>
          <t>Ca ngày: Thái</t>
        </is>
      </c>
    </row>
    <row r="170">
      <c r="A170" s="246" t="n"/>
      <c r="B170" s="246" t="n"/>
      <c r="C170" s="246" t="n"/>
      <c r="D170" s="246" t="n"/>
      <c r="E170" s="246" t="n"/>
      <c r="F170" s="246" t="n"/>
      <c r="G170" s="246" t="n"/>
      <c r="H170" s="246" t="n"/>
      <c r="I170" s="246" t="n"/>
      <c r="J170" s="246" t="n"/>
      <c r="K170" s="60" t="inlineStr">
        <is>
          <t>* Không có.</t>
        </is>
      </c>
      <c r="L170" s="60" t="inlineStr">
        <is>
          <t>* Không có.</t>
        </is>
      </c>
      <c r="M170" s="20" t="inlineStr">
        <is>
          <t>Ca đêm: Hùng</t>
        </is>
      </c>
    </row>
    <row r="171" ht="56.25" customHeight="1" s="22">
      <c r="A171" s="153" t="n">
        <v>45742</v>
      </c>
      <c r="B171" s="151" t="n">
        <v>144</v>
      </c>
      <c r="C171" s="151" t="n">
        <v>25264</v>
      </c>
      <c r="D171" s="151" t="n">
        <v>140</v>
      </c>
      <c r="E171" s="151" t="n">
        <v>21493</v>
      </c>
      <c r="F171" s="151" t="n">
        <v>28201</v>
      </c>
      <c r="G171" s="151" t="n">
        <v>3655</v>
      </c>
      <c r="H171" s="151" t="n">
        <v>23364</v>
      </c>
      <c r="I171" s="142" t="n">
        <v>151</v>
      </c>
      <c r="J171" s="143" t="n">
        <v>135</v>
      </c>
      <c r="K171" s="60" t="inlineStr">
        <is>
          <t>* Băng chuyền dài gom hành lý đảo G(L3-3) báo lỗi "Encoder Under Speed" nhiều lần. Đội ĐCN(Toàn), ĐCK(An) đã kiểm tra chưa thấy có gì bất thường. A/e ca sau theo dõi thêm.</t>
        </is>
      </c>
      <c r="L171" s="60" t="n"/>
      <c r="M171" s="20" t="inlineStr">
        <is>
          <t>Ca ngày: K.Lâm</t>
        </is>
      </c>
    </row>
    <row r="172">
      <c r="A172" s="246" t="n"/>
      <c r="B172" s="246" t="n"/>
      <c r="C172" s="246" t="n"/>
      <c r="D172" s="246" t="n"/>
      <c r="E172" s="246" t="n"/>
      <c r="F172" s="246" t="n"/>
      <c r="G172" s="246" t="n"/>
      <c r="H172" s="246" t="n"/>
      <c r="I172" s="246" t="n"/>
      <c r="J172" s="246" t="n"/>
      <c r="K172" s="60" t="inlineStr">
        <is>
          <t>* Không có.</t>
        </is>
      </c>
      <c r="L172" s="60" t="inlineStr">
        <is>
          <t>* Không có.</t>
        </is>
      </c>
      <c r="M172" s="20" t="inlineStr">
        <is>
          <t>Ca đêm: Thái</t>
        </is>
      </c>
    </row>
    <row r="173">
      <c r="A173" s="153" t="n">
        <v>45743</v>
      </c>
      <c r="B173" s="151" t="n">
        <v>139</v>
      </c>
      <c r="C173" s="151" t="n">
        <v>24603</v>
      </c>
      <c r="D173" s="151" t="n">
        <v>141</v>
      </c>
      <c r="E173" s="151" t="n">
        <v>22722</v>
      </c>
      <c r="F173" s="151" t="n">
        <v>26787</v>
      </c>
      <c r="G173" s="151" t="n">
        <v>4352</v>
      </c>
      <c r="H173" s="151" t="n">
        <v>23387</v>
      </c>
      <c r="I173" s="142" t="n">
        <v>146</v>
      </c>
      <c r="J173" s="143" t="n">
        <v>142</v>
      </c>
      <c r="K173" s="60" t="inlineStr">
        <is>
          <t>* Không có.</t>
        </is>
      </c>
      <c r="L173" s="60" t="inlineStr">
        <is>
          <t>* ĐCN ( Tuấn ) bảo trì tủ checkin đảo IJ.</t>
        </is>
      </c>
      <c r="M173" s="20" t="inlineStr">
        <is>
          <t>Ca ngày: Hùng</t>
        </is>
      </c>
    </row>
    <row r="174" ht="168.75" customHeight="1" s="22">
      <c r="A174" s="246" t="n"/>
      <c r="B174" s="246" t="n"/>
      <c r="C174" s="246" t="n"/>
      <c r="D174" s="246" t="n"/>
      <c r="E174" s="246" t="n"/>
      <c r="F174" s="246" t="n"/>
      <c r="G174" s="246" t="n"/>
      <c r="H174" s="246" t="n"/>
      <c r="I174" s="246" t="n"/>
      <c r="J174" s="246" t="n"/>
      <c r="K174" s="60" t="inlineStr">
        <is>
          <t>* Bánh xe chịu tải trên(số 165) Ovan đi số 4 bị bể bạc đạn, kêu to. ĐCK(Phúc) đã thay thế.
* Tapi A6-1(băng chuyền đến số 7) bị rách dài khoảng 30cm. Đã báo ĐCK(Sơn).
* Băng chuyền đến A6-2 chạy không tải, bị báo Trip CB 03 lần (Dòng hoạt động 2.4A). Tạm chỉnh CB từ 2.5A lên 2.7A. Nếu Trip nữa, các Anh báo bảo trì.
* Cần gạt L6A-01 đang bị lệch vị trí khi gạt ra. Nhờ ca sau báo ĐCN chỉnh lại.</t>
        </is>
      </c>
      <c r="L174" s="60" t="inlineStr">
        <is>
          <t>* Không có.</t>
        </is>
      </c>
      <c r="M174" s="20" t="inlineStr">
        <is>
          <t>Ca đêm: K.Lâm</t>
        </is>
      </c>
    </row>
    <row r="175" ht="37.5" customHeight="1" s="22">
      <c r="A175" s="153" t="n">
        <v>45744</v>
      </c>
      <c r="B175" s="151" t="n">
        <v>143</v>
      </c>
      <c r="C175" s="151" t="n">
        <v>26062</v>
      </c>
      <c r="D175" s="151" t="n">
        <v>141</v>
      </c>
      <c r="E175" s="151" t="n">
        <v>23910</v>
      </c>
      <c r="F175" s="255" t="n">
        <v>26967</v>
      </c>
      <c r="G175" s="255" t="n">
        <v>4172</v>
      </c>
      <c r="H175" s="255" t="n">
        <v>23412</v>
      </c>
      <c r="I175" s="142" t="n">
        <v>146</v>
      </c>
      <c r="J175" s="143" t="n">
        <v>137</v>
      </c>
      <c r="K175" s="60" t="inlineStr">
        <is>
          <t>* Cần gạt L6A-01 ĐCK dã chỉnh lại.</t>
        </is>
      </c>
      <c r="L175" s="60" t="inlineStr">
        <is>
          <t>* ĐCN ( Toàn ) bảo trì tủ checkin đảo IJKL
* ĐCK thay rulo chủ động và rulo căng SM5-8.</t>
        </is>
      </c>
      <c r="M175" s="20" t="inlineStr">
        <is>
          <t>Ca ngày: Thái</t>
        </is>
      </c>
    </row>
    <row r="176" ht="131.25" customHeight="1" s="22">
      <c r="A176" s="246" t="n"/>
      <c r="B176" s="246" t="n"/>
      <c r="C176" s="246" t="n"/>
      <c r="D176" s="246" t="n"/>
      <c r="E176" s="246" t="n"/>
      <c r="F176" s="246" t="n"/>
      <c r="G176" s="246" t="n"/>
      <c r="H176" s="246" t="n"/>
      <c r="I176" s="246" t="n"/>
      <c r="J176" s="246" t="n"/>
      <c r="K176" s="60" t="inlineStr">
        <is>
          <t>* Không có.</t>
        </is>
      </c>
      <c r="L176" s="60" t="inlineStr">
        <is>
          <t>* ĐCK (Phúc, Việt, Dũng, Toàn) thay bánh xe chịu tải ovan đi: 
Ovan số 4: dưới: 9, 43, 113; trên: 9
Ovan số 2: dưới: 60, 193; trên: 47
Ovan số 6: dưới: 40, 85, 113, 114, 147; trên: 33, 84, 126, 130, 153
Ovan số 1: dưới: 44, 170, 287, 220, 230; trên: 1, 2, 203, 230</t>
        </is>
      </c>
      <c r="M176" s="20" t="inlineStr">
        <is>
          <t>Ca đêm:  Hùng</t>
        </is>
      </c>
    </row>
    <row r="177" ht="75" customHeight="1" s="22">
      <c r="A177" s="153" t="n">
        <v>45745</v>
      </c>
      <c r="B177" s="151" t="n">
        <v>134</v>
      </c>
      <c r="C177" s="151" t="n">
        <v>24264</v>
      </c>
      <c r="D177" s="151" t="n">
        <v>134</v>
      </c>
      <c r="E177" s="151" t="n">
        <v>22347</v>
      </c>
      <c r="F177" s="255" t="n">
        <v>27049</v>
      </c>
      <c r="G177" s="255" t="n">
        <v>4566</v>
      </c>
      <c r="H177" s="255" t="n">
        <v>23436</v>
      </c>
      <c r="I177" s="142" t="n">
        <v>148</v>
      </c>
      <c r="J177" s="143" t="n">
        <v>140</v>
      </c>
      <c r="K177" s="60" t="inlineStr">
        <is>
          <t>* Tín hiệu hình Camera khu vực Checkin đảo CD, IJ  hay bị chạy lên, khó nhìn. Đã báo nhân viên đội ĐĐtử( Quang Anh).
* Tấm sắt ốm thành Ovan đi số 6 bị bung ra. Đã báo ĐCK(Trương) xử lý.</t>
        </is>
      </c>
      <c r="L177" s="60" t="inlineStr">
        <is>
          <t>* ĐCN ( Phúc ) bảo trì tủ checkin đảo AB
* ĐCK (Tuấn) kiểm tra các line băng chuyền</t>
        </is>
      </c>
      <c r="M177" s="20" t="inlineStr">
        <is>
          <t>Ca ngày: K.Lâm</t>
        </is>
      </c>
    </row>
    <row r="178">
      <c r="A178" s="246" t="n"/>
      <c r="B178" s="246" t="n"/>
      <c r="C178" s="246" t="n"/>
      <c r="D178" s="246" t="n"/>
      <c r="E178" s="246" t="n"/>
      <c r="F178" s="246" t="n"/>
      <c r="G178" s="246" t="n"/>
      <c r="H178" s="246" t="n"/>
      <c r="I178" s="246" t="n"/>
      <c r="J178" s="246" t="n"/>
      <c r="K178" s="60" t="inlineStr">
        <is>
          <t>* Không có.</t>
        </is>
      </c>
      <c r="L178" s="60" t="inlineStr">
        <is>
          <t>* Không có.</t>
        </is>
      </c>
      <c r="M178" s="20" t="inlineStr">
        <is>
          <t>Ca đêm:  Thái</t>
        </is>
      </c>
    </row>
    <row r="179">
      <c r="A179" s="153" t="n">
        <v>45746</v>
      </c>
      <c r="B179" s="151" t="n">
        <v>143</v>
      </c>
      <c r="C179" s="151" t="n">
        <v>24831</v>
      </c>
      <c r="D179" s="151" t="n">
        <v>141</v>
      </c>
      <c r="E179" s="151" t="n">
        <v>24099</v>
      </c>
      <c r="F179" s="255" t="n">
        <v>27748</v>
      </c>
      <c r="G179" s="255" t="n">
        <v>4840</v>
      </c>
      <c r="H179" s="255" t="n">
        <v>23459</v>
      </c>
      <c r="I179" s="142" t="n">
        <v>152</v>
      </c>
      <c r="J179" s="143" t="n">
        <v>134</v>
      </c>
      <c r="K179" s="60" t="inlineStr">
        <is>
          <t>* Không có.</t>
        </is>
      </c>
      <c r="L179" s="60" t="inlineStr">
        <is>
          <t>* Không có.</t>
        </is>
      </c>
      <c r="M179" s="20" t="inlineStr">
        <is>
          <t>Ca ngày: Hùng</t>
        </is>
      </c>
    </row>
    <row r="180">
      <c r="A180" s="246" t="n"/>
      <c r="B180" s="246" t="n"/>
      <c r="C180" s="246" t="n"/>
      <c r="D180" s="246" t="n"/>
      <c r="E180" s="246" t="n"/>
      <c r="F180" s="246" t="n"/>
      <c r="G180" s="246" t="n"/>
      <c r="H180" s="246" t="n"/>
      <c r="I180" s="246" t="n"/>
      <c r="J180" s="246" t="n"/>
      <c r="K180" s="60" t="inlineStr">
        <is>
          <t>* D8 màn hình phụ không hiển thị (khách xem) =&gt; CK đã chỉnh.</t>
        </is>
      </c>
      <c r="L180" s="60" t="n"/>
      <c r="M180" s="20" t="inlineStr">
        <is>
          <t>Ca đêm:</t>
        </is>
      </c>
    </row>
    <row r="181" ht="37.5" customHeight="1" s="22">
      <c r="A181" s="153" t="n">
        <v>45747</v>
      </c>
      <c r="B181" s="151" t="n">
        <v>143</v>
      </c>
      <c r="C181" s="151" t="n">
        <v>25506</v>
      </c>
      <c r="D181" s="151" t="n">
        <v>141</v>
      </c>
      <c r="E181" s="151" t="n">
        <v>23042</v>
      </c>
      <c r="F181" s="255" t="n">
        <v>25868</v>
      </c>
      <c r="G181" s="255" t="n">
        <v>3698</v>
      </c>
      <c r="H181" s="255" t="n">
        <v>23482</v>
      </c>
      <c r="I181" s="142" t="n">
        <v>146</v>
      </c>
      <c r="J181" s="143" t="n">
        <v>135</v>
      </c>
      <c r="K181" s="60" t="inlineStr">
        <is>
          <t>* Motor SM603 có tiếng kêu bạc đạn, ĐCK(Việt) đổi motor ME103 qua thay ( tháo motor SM603 về ĐCK sửa chữa)</t>
        </is>
      </c>
      <c r="L181" s="60" t="inlineStr">
        <is>
          <t>* ĐCK(Dũng) chỉnh lại tapi L5-22.
* ĐCK(Khoa) vệ sinh các băng chuyền Ovan đi 1,2,3,4,5.</t>
        </is>
      </c>
      <c r="M181" s="20" t="inlineStr">
        <is>
          <t>Ca ngày: K.Lâm</t>
        </is>
      </c>
    </row>
    <row r="182">
      <c r="A182" s="246" t="n"/>
      <c r="B182" s="246" t="n"/>
      <c r="C182" s="246" t="n"/>
      <c r="D182" s="246" t="n"/>
      <c r="E182" s="246" t="n"/>
      <c r="F182" s="246" t="n"/>
      <c r="G182" s="246" t="n"/>
      <c r="H182" s="246" t="n"/>
      <c r="I182" s="246" t="n"/>
      <c r="J182" s="246" t="n"/>
      <c r="K182" s="60" t="inlineStr">
        <is>
          <t>* Không có.</t>
        </is>
      </c>
      <c r="L182" s="60" t="inlineStr">
        <is>
          <t>* Không có.</t>
        </is>
      </c>
      <c r="M182" s="20" t="inlineStr">
        <is>
          <t>Ca đêm: Hùng</t>
        </is>
      </c>
    </row>
    <row r="183" ht="93.75" customHeight="1" s="22">
      <c r="A183" s="153" t="n">
        <v>45748</v>
      </c>
      <c r="B183" s="151" t="n">
        <v>141</v>
      </c>
      <c r="C183" s="151" t="n">
        <v>24360</v>
      </c>
      <c r="D183" s="151" t="n">
        <v>143</v>
      </c>
      <c r="E183" s="151" t="n">
        <v>22772</v>
      </c>
      <c r="F183" s="255" t="n">
        <v>26345</v>
      </c>
      <c r="G183" s="255" t="n">
        <v>4248</v>
      </c>
      <c r="H183" s="255" t="n">
        <v>23505</v>
      </c>
      <c r="I183" s="142" t="n">
        <v>145</v>
      </c>
      <c r="J183" s="143" t="n">
        <v>137</v>
      </c>
      <c r="K183" s="60" t="inlineStr">
        <is>
          <t>* Trip motor đoạn băng chuyền L5-2-14 quầy L4, đã báo ĐCN, ĐCK.
* Khay 56 mất bánh xe, đã thay bánh xe, enable lại.
* Đoạn L6A02 báo Motor Controller Fault đã báo ĐCN (Phúc), 18h15 lại tiếp tục báo lỗi, nhờ ca đêm báo ĐCN.</t>
        </is>
      </c>
      <c r="L183" s="60" t="inlineStr">
        <is>
          <t>* ĐCK (Việt) gắn lại motor SM603 (đã sửa chữa), trả lại motor cho ME103.
* ĐCN (Phúc) thay contactor đoạn băng chuyền L5-2-14 cho quầy L4.</t>
        </is>
      </c>
      <c r="M183" s="20" t="inlineStr">
        <is>
          <t>Ca ngày: Nhân</t>
        </is>
      </c>
    </row>
    <row r="184">
      <c r="A184" s="246" t="n"/>
      <c r="B184" s="246" t="n"/>
      <c r="C184" s="246" t="n"/>
      <c r="D184" s="246" t="n"/>
      <c r="E184" s="246" t="n"/>
      <c r="F184" s="246" t="n"/>
      <c r="G184" s="246" t="n"/>
      <c r="H184" s="246" t="n"/>
      <c r="I184" s="246" t="n"/>
      <c r="J184" s="246" t="n"/>
      <c r="K184" s="60" t="n"/>
      <c r="L184" s="60" t="n"/>
      <c r="M184" s="20" t="inlineStr">
        <is>
          <t>Ca đêm: Hùng</t>
        </is>
      </c>
    </row>
    <row r="185" ht="37.5" customHeight="1" s="22">
      <c r="A185" s="153" t="n">
        <v>45749</v>
      </c>
      <c r="B185" s="151" t="n">
        <v>145</v>
      </c>
      <c r="C185" s="151" t="n">
        <v>25822</v>
      </c>
      <c r="D185" s="151" t="n">
        <v>138</v>
      </c>
      <c r="E185" s="151" t="n">
        <v>22080</v>
      </c>
      <c r="F185" s="255" t="n">
        <v>28563</v>
      </c>
      <c r="G185" s="255" t="n">
        <v>4568</v>
      </c>
      <c r="H185" s="255" t="n">
        <v>23528</v>
      </c>
      <c r="I185" s="142" t="n">
        <v>149</v>
      </c>
      <c r="J185" s="143" t="n">
        <v>140</v>
      </c>
      <c r="K185" s="60" t="inlineStr">
        <is>
          <t>* B/C L1-33 bung mối nối móc khoảng 10cm. Đã báo ĐCK(An) 
* Reset hết lỗi " Motor Controller Fault "  L6A02.</t>
        </is>
      </c>
      <c r="L185" s="60" t="inlineStr">
        <is>
          <t>* ĐCK(An) kiểm tra các line băng chuyền
* ĐCK (An) đóng móc băng tải đoạn b/c A6-1.</t>
        </is>
      </c>
      <c r="M185" s="20" t="inlineStr">
        <is>
          <t>Ca ngày: K.Lâm</t>
        </is>
      </c>
    </row>
    <row r="186" ht="206.25" customHeight="1" s="22">
      <c r="A186" s="246" t="n"/>
      <c r="B186" s="246" t="n"/>
      <c r="C186" s="246" t="n"/>
      <c r="D186" s="246" t="n"/>
      <c r="E186" s="246" t="n"/>
      <c r="F186" s="246" t="n"/>
      <c r="G186" s="246" t="n"/>
      <c r="H186" s="246" t="n"/>
      <c r="I186" s="246" t="n"/>
      <c r="J186" s="246" t="n"/>
      <c r="K186" s="60" t="inlineStr">
        <is>
          <t>* Không có</t>
        </is>
      </c>
      <c r="L186" s="60" t="inlineStr">
        <is>
          <t>* ĐCK (Trung) bảo trì băng chuyền đến số 8 : 
+ Chịu tải trong : 114, 115, 117, 120, 121, 122, 123, 125, 126, 127, 128, 131, 132, 134, 136 142, 144, 145, 146, 147, 149, 150, 155, 156, 157, 159, 162, 163, 164, 166, 167, 168,173, 174, 177, 178, 181, 182, 184, 186, 187, 188, 189, 193, 194, 201, 202, 203, 206, 209, 213, 215.
+ Chịu tải ngoài: 117, 119, 120, 127, 131, 132, 133, 144, 147, 142, 150, , 151, 156, 157, 159, 163, 174, 180, 185, 188, 189, 190, 192, 194, 200, 208, 209.
+ Dẫn hướng: 178.
* ĐCK (An) đóng móc băng tải đoạn L1-33 (file BCKT)</t>
        </is>
      </c>
      <c r="M186" s="20" t="inlineStr">
        <is>
          <t>Ca đêm: Nhân</t>
        </is>
      </c>
    </row>
    <row r="187" ht="37.5" customHeight="1" s="22">
      <c r="A187" s="153" t="n">
        <v>45750</v>
      </c>
      <c r="B187" s="151" t="n">
        <v>143</v>
      </c>
      <c r="C187" s="151" t="n">
        <v>25508</v>
      </c>
      <c r="D187" s="151" t="n">
        <v>140</v>
      </c>
      <c r="E187" s="151" t="n">
        <v>22583</v>
      </c>
      <c r="F187" s="255" t="n">
        <v>28194</v>
      </c>
      <c r="G187" s="255" t="n">
        <v>4664</v>
      </c>
      <c r="H187" s="255" t="n">
        <v>23552</v>
      </c>
      <c r="I187" s="142" t="n">
        <v>148</v>
      </c>
      <c r="J187" s="143" t="n">
        <v>138</v>
      </c>
      <c r="K187" s="60" t="n"/>
      <c r="L187" s="60" t="inlineStr">
        <is>
          <t>* ĐCK (Trung) bảo trì băng chuyền đến từ số 1-&gt;8
* ĐCK (An) đóng móc băng tải đoạn L1-33</t>
        </is>
      </c>
      <c r="M187" s="20" t="inlineStr">
        <is>
          <t>Ca ngày: Hùng</t>
        </is>
      </c>
    </row>
    <row r="188" ht="150" customHeight="1" s="22">
      <c r="A188" s="246" t="n"/>
      <c r="B188" s="246" t="n"/>
      <c r="C188" s="246" t="n"/>
      <c r="D188" s="246" t="n"/>
      <c r="E188" s="246" t="n"/>
      <c r="F188" s="246" t="n"/>
      <c r="G188" s="246" t="n"/>
      <c r="H188" s="246" t="n"/>
      <c r="I188" s="246" t="n"/>
      <c r="J188" s="246" t="n"/>
      <c r="K188" s="60" t="inlineStr">
        <is>
          <t>22h40: Motor L2-4 báo lỗi "Inverter Fault" nhiều lần trong ngày. ĐCK(Thanh), ĐCN(Dân) thay motor + biến tần khác. Hdbt</t>
        </is>
      </c>
      <c r="L188" s="60" t="inlineStr">
        <is>
          <t xml:space="preserve">* ĐCK (Trung) bảo trì băng chuyền đến từ số 8 :
+ Chịu tải trong : 2, 3, 4, 6, 7, 17, 23, 24, 25, 28, 30, 31, 32, 34, 35, 36, 37, 38, 40, 41, 42, 43, 44, 45, 46, 47, 48, 49, 54, 55, 56, 57, 66, 67.
+ Chịu tải ngoài: 1, 5, 8, 11, 14, 17, 19, 26, 36, 37, 40, 50, 59, 61, 63.
</t>
        </is>
      </c>
      <c r="M188" s="20" t="inlineStr">
        <is>
          <t>Ca đêm: K.Lâm</t>
        </is>
      </c>
    </row>
    <row r="189" ht="75" customHeight="1" s="22">
      <c r="A189" s="153" t="n">
        <v>45751</v>
      </c>
      <c r="B189" s="151" t="n">
        <v>144</v>
      </c>
      <c r="C189" s="151" t="n">
        <v>25508</v>
      </c>
      <c r="D189" s="151" t="n">
        <v>140</v>
      </c>
      <c r="E189" s="151" t="n">
        <v>22583</v>
      </c>
      <c r="F189" s="255" t="n">
        <v>27429</v>
      </c>
      <c r="G189" s="255" t="n">
        <v>4432</v>
      </c>
      <c r="H189" s="255" t="n">
        <v>23575</v>
      </c>
      <c r="I189" s="142" t="n">
        <v>150</v>
      </c>
      <c r="J189" s="143" t="n">
        <v>142</v>
      </c>
      <c r="K189" s="60" t="inlineStr">
        <is>
          <t>* Cần gạt đảo A bị lệch, đã báo ĐCK, đã xử lí, theo dõi thêm.
* PLC tủ Departure L5 báo lỗi "Fault / Error Mode" đã báo ĐCN (Đại), kiểm tra hư cục Wago tủ Ovan đí số 5, tối nay hết chuyến sẽ thay, hiện Line 5 vẫn hoạt động bình thường,</t>
        </is>
      </c>
      <c r="L189" s="60" t="inlineStr">
        <is>
          <t>* ĐCK (Bình) kiểm tra bảo trì Line1, Line2.
* ĐCN (Toàn) bảo trì Oval đi số 3, 4, 5.</t>
        </is>
      </c>
      <c r="M189" s="20" t="inlineStr">
        <is>
          <t>Ca ngày: Nhân</t>
        </is>
      </c>
    </row>
    <row r="190" ht="150" customHeight="1" s="22">
      <c r="A190" s="246" t="n"/>
      <c r="B190" s="246" t="n"/>
      <c r="C190" s="246" t="n"/>
      <c r="D190" s="246" t="n"/>
      <c r="E190" s="246" t="n"/>
      <c r="F190" s="246" t="n"/>
      <c r="G190" s="246" t="n"/>
      <c r="H190" s="246" t="n"/>
      <c r="I190" s="246" t="n"/>
      <c r="J190" s="246" t="n"/>
      <c r="K190" s="60" t="inlineStr">
        <is>
          <t>* Khay 121 mất bánh xe, disable.
* ĐCN ( Tuấn ) đã thay modul Profibus tủ RCP/M5.</t>
        </is>
      </c>
      <c r="L190" s="60" t="inlineStr">
        <is>
          <t>* ĐCK( Phúc, Vũ) đã thay bánh xe D90 cho Ovan đến số 8: 
+ Chịu tải trên : 68,69,71,73,74,75,76,77,78,79,86,90,92,93,95,151,96,97,102,103,104,106,108,109,110,111,112,113,115,141,145.
+ Chịu tải ngoài: 68,69,70,73,74,76,77,85,89,93,94,100,105,109,113,125,134,142,153.</t>
        </is>
      </c>
      <c r="M190" s="20" t="inlineStr">
        <is>
          <t>Ca đêm: Thái</t>
        </is>
      </c>
    </row>
    <row r="191" ht="57" customHeight="1" s="22">
      <c r="A191" s="153" t="n">
        <v>45752</v>
      </c>
      <c r="B191" s="151" t="n">
        <v>147</v>
      </c>
      <c r="C191" s="151" t="n">
        <v>26900</v>
      </c>
      <c r="D191" s="151" t="n">
        <v>146</v>
      </c>
      <c r="E191" s="151" t="n">
        <v>21683</v>
      </c>
      <c r="F191" s="255" t="n">
        <v>27919</v>
      </c>
      <c r="G191" s="255" t="n">
        <v>5188</v>
      </c>
      <c r="H191" s="255" t="n">
        <v>23598</v>
      </c>
      <c r="I191" s="142" t="n">
        <v>149</v>
      </c>
      <c r="J191" s="143" t="n">
        <v>145</v>
      </c>
      <c r="K191" s="60" t="inlineStr">
        <is>
          <t>* Không có.</t>
        </is>
      </c>
      <c r="L191" s="60" t="inlineStr">
        <is>
          <t>* ĐCK (Công) kiểm tra các line băng chuyền.
* ĐCN(Toàn) bảo trì tủ điện Ovan đi.</t>
        </is>
      </c>
      <c r="M191" s="20" t="inlineStr">
        <is>
          <t>Ca ngày: K.Lâm</t>
        </is>
      </c>
    </row>
    <row r="192" ht="112.5" customHeight="1" s="22">
      <c r="A192" s="246" t="n"/>
      <c r="B192" s="246" t="n"/>
      <c r="C192" s="246" t="n"/>
      <c r="D192" s="246" t="n"/>
      <c r="E192" s="246" t="n"/>
      <c r="F192" s="246" t="n"/>
      <c r="G192" s="246" t="n"/>
      <c r="H192" s="246" t="n"/>
      <c r="I192" s="246" t="n"/>
      <c r="J192" s="246" t="n"/>
      <c r="K192" s="60" t="inlineStr">
        <is>
          <t>* Khay 53 mất bánh xe, disable.
* Quầy cân G7 chập chờn không release, nhờ ca sau báo ĐCN.</t>
        </is>
      </c>
      <c r="L192" s="60" t="inlineStr">
        <is>
          <t>* ĐCK thay bánh xe D90 cho ovan 8 đến:
- Chịu tải trên: 68, 69, 71, 73, 74, 75, 76, 77, 78, 79, 86, 90, 92, 93, 95, 151, 96, 97, 102, 103, 104, 106, 108, 109, 110, 111, 112, 113, 115, 141, 145.
- Chịu tải trên: 68, 69, 70, 73, 74, 76, 77, 85, 89, 93, 94, 100, 105, 109, 113, 125, 134, 142, 153.</t>
        </is>
      </c>
      <c r="M192" s="20" t="inlineStr">
        <is>
          <t>Ca đêm: Chơn.</t>
        </is>
      </c>
    </row>
    <row r="193" ht="57" customHeight="1" s="22">
      <c r="A193" s="153" t="n">
        <v>45753</v>
      </c>
      <c r="B193" s="151" t="n">
        <v>144</v>
      </c>
      <c r="C193" s="151" t="n">
        <v>26964</v>
      </c>
      <c r="D193" s="151" t="n">
        <v>143</v>
      </c>
      <c r="E193" s="151" t="n">
        <v>22961</v>
      </c>
      <c r="F193" s="255" t="n">
        <v>26720</v>
      </c>
      <c r="G193" s="255" t="n">
        <v>4594</v>
      </c>
      <c r="H193" s="255" t="n">
        <v>23621</v>
      </c>
      <c r="I193" s="142" t="n">
        <v>147</v>
      </c>
      <c r="J193" s="143" t="n">
        <v>139</v>
      </c>
      <c r="K193" s="60" t="inlineStr">
        <is>
          <t>* Cắt belt số 10 của induction 4.</t>
        </is>
      </c>
      <c r="L193" s="60" t="inlineStr">
        <is>
          <t>* Không có.</t>
        </is>
      </c>
      <c r="M193" s="20" t="inlineStr">
        <is>
          <t>Ca ngày: Thái</t>
        </is>
      </c>
    </row>
    <row r="194" ht="131.25" customHeight="1" s="22">
      <c r="A194" s="246" t="n"/>
      <c r="B194" s="246" t="n"/>
      <c r="C194" s="246" t="n"/>
      <c r="D194" s="246" t="n"/>
      <c r="E194" s="246" t="n"/>
      <c r="F194" s="246" t="n"/>
      <c r="G194" s="246" t="n"/>
      <c r="H194" s="246" t="n"/>
      <c r="I194" s="246" t="n"/>
      <c r="J194" s="246" t="n"/>
      <c r="K194" s="60" t="inlineStr">
        <is>
          <t>* Nút nhấn Release quầy J-3 bị bể. ĐCN(Dân) đã thay thế nút nhấn khác. HĐBT.
* 06h00: B/c đến A-7 Máy soi Hải quan hư công tắc chìa khóa, không khởi động được. Tạm ngưng khai thác, đã báo AOCC, TBT và KHB.
* Lá tapi băng chuyền ovan đi số 4 bị bể gối số 135, 197. Đã báo ĐCK(Sơn)</t>
        </is>
      </c>
      <c r="L194" s="60" t="inlineStr">
        <is>
          <t>* Không có.</t>
        </is>
      </c>
      <c r="M194" s="20" t="inlineStr">
        <is>
          <t>Ca đêm: K.Lâm</t>
        </is>
      </c>
    </row>
    <row r="195" ht="93.75" customHeight="1" s="22">
      <c r="A195" s="153" t="n">
        <v>45754</v>
      </c>
      <c r="B195" s="151" t="n">
        <v>149</v>
      </c>
      <c r="C195" s="151" t="n">
        <v>25219</v>
      </c>
      <c r="D195" s="151" t="n">
        <v>148</v>
      </c>
      <c r="E195" s="151" t="n">
        <v>25512</v>
      </c>
      <c r="F195" s="255" t="n">
        <v>25655</v>
      </c>
      <c r="G195" s="255" t="n">
        <v>4190</v>
      </c>
      <c r="H195" s="255" t="n">
        <v>23644</v>
      </c>
      <c r="I195" s="142" t="n">
        <v>147</v>
      </c>
      <c r="J195" s="143" t="n">
        <v>136</v>
      </c>
      <c r="K195" s="60" t="inlineStr">
        <is>
          <t xml:space="preserve">
* B/c đến A-7 đang hư công tắc chìa khóa, không khởi động được máy soi, tạm dừng từ 06h ngày 07/04/2025 
* Lá tapi băng chuyền ovan đi số 5 bị bể gối số 67( đã thay lá mới)
</t>
        </is>
      </c>
      <c r="L195" s="60" t="inlineStr">
        <is>
          <t>*ĐCK(Nam) thay lá tapi  băng chuyền ovan đi số 4 bị bể gối số 135, 197</t>
        </is>
      </c>
      <c r="M195" s="20" t="inlineStr">
        <is>
          <t>Ca ngày: Hùng</t>
        </is>
      </c>
    </row>
    <row r="196">
      <c r="A196" s="246" t="n"/>
      <c r="B196" s="246" t="n"/>
      <c r="C196" s="246" t="n"/>
      <c r="D196" s="246" t="n"/>
      <c r="E196" s="246" t="n"/>
      <c r="F196" s="246" t="n"/>
      <c r="G196" s="246" t="n"/>
      <c r="H196" s="246" t="n"/>
      <c r="I196" s="246" t="n"/>
      <c r="J196" s="246" t="n"/>
      <c r="K196" s="60" t="inlineStr">
        <is>
          <t>* Không có.</t>
        </is>
      </c>
      <c r="L196" s="60" t="inlineStr">
        <is>
          <t>* Không có.</t>
        </is>
      </c>
      <c r="M196" s="20" t="inlineStr">
        <is>
          <t xml:space="preserve">Ca đêm : Thái </t>
        </is>
      </c>
    </row>
    <row r="197" ht="93.75" customHeight="1" s="22">
      <c r="A197" s="153" t="n">
        <v>45755</v>
      </c>
      <c r="B197" s="151" t="n">
        <v>145</v>
      </c>
      <c r="C197" s="151" t="n">
        <v>23721</v>
      </c>
      <c r="D197" s="151" t="n">
        <v>144</v>
      </c>
      <c r="E197" s="151" t="n">
        <v>24165</v>
      </c>
      <c r="F197" s="255" t="n">
        <v>25243</v>
      </c>
      <c r="G197" s="255" t="n">
        <v>3949</v>
      </c>
      <c r="H197" s="255" t="n">
        <v>23667</v>
      </c>
      <c r="I197" s="142" t="n">
        <v>145</v>
      </c>
      <c r="J197" s="143" t="n">
        <v>147</v>
      </c>
      <c r="K197" s="70" t="inlineStr">
        <is>
          <t xml:space="preserve">
* B/c đến A-7 đang hư công tắc chìa khóa, không khởi động được máy soi, tạm dừng từ 06h ngày 07/04/2025 </t>
        </is>
      </c>
      <c r="L197" s="60" t="inlineStr">
        <is>
          <t>* ĐCK(Nam) kiểm tra các line băng chuyền 1,2,6.
* ĐCK (Thanh) kiểm tra các line băng chuyền 3,4,5.
* ĐCK(Doanh) vệ sinh khu vực băng chuyền đến số 7.
* ĐCN (Phúc) bảo trì tủ điện băng chuyền đến 1,2,3.
* ĐĐT(Kiên) bảo trì 1 tháng tủ Rack hệ thống CCTV-BHS.</t>
        </is>
      </c>
      <c r="M197" s="20" t="inlineStr">
        <is>
          <t>Ca ngày: K.Lâm</t>
        </is>
      </c>
    </row>
    <row r="198" ht="110.25" customHeight="1" s="22">
      <c r="A198" s="246" t="n"/>
      <c r="B198" s="246" t="n"/>
      <c r="C198" s="246" t="n"/>
      <c r="D198" s="246" t="n"/>
      <c r="E198" s="246" t="n"/>
      <c r="F198" s="246" t="n"/>
      <c r="G198" s="246" t="n"/>
      <c r="H198" s="246" t="n"/>
      <c r="I198" s="246" t="n"/>
      <c r="J198" s="246" t="n"/>
      <c r="K198" s="60" t="inlineStr">
        <is>
          <t>* không có.</t>
        </is>
      </c>
      <c r="L198" s="60" t="inlineStr">
        <is>
          <t>* ĐCK ( Phúc ) thay bánh xe oval đến số 8 : 
* Bánh xe chịu tải trong : 217,218,219,221,230,231,234
236,239,240,241,242,247,248,216,161,50,51,52,63,64.
* Bánh xe chịu tải ngoài : 
218,231,233,236,241,102,162.</t>
        </is>
      </c>
      <c r="M198" s="20" t="inlineStr">
        <is>
          <t>Ca đêm : Tú</t>
        </is>
      </c>
    </row>
    <row r="199" ht="37.5" customHeight="1" s="22">
      <c r="A199" s="153" t="n">
        <v>45756</v>
      </c>
      <c r="B199" s="151" t="n">
        <v>149</v>
      </c>
      <c r="C199" s="151" t="n">
        <v>24170</v>
      </c>
      <c r="D199" s="151" t="n">
        <v>142</v>
      </c>
      <c r="E199" s="151" t="n">
        <v>22987</v>
      </c>
      <c r="F199" s="255" t="n">
        <v>26338</v>
      </c>
      <c r="G199" s="255" t="n">
        <v>4306</v>
      </c>
      <c r="H199" s="255" t="n">
        <v>23703</v>
      </c>
      <c r="I199" s="142" t="n">
        <v>159</v>
      </c>
      <c r="J199" s="143" t="n">
        <v>134</v>
      </c>
      <c r="K199" s="71" t="inlineStr">
        <is>
          <t>* B/c đến A-7 máy soi hải quan đã sửa chữa xong  từ 12h 45 ngày 09/04/2025 , đã báo AOCC.</t>
        </is>
      </c>
      <c r="L199" s="60" t="inlineStr">
        <is>
          <t>* ĐCK thay rulo bị động L3-19, rulo căng L4-31.
* ĐCK bảo trì băng chuyền đến 4,5,6.</t>
        </is>
      </c>
      <c r="M199" s="20" t="inlineStr">
        <is>
          <t>Ca ngày : Thái</t>
        </is>
      </c>
    </row>
    <row r="200" ht="56.25" customHeight="1" s="22">
      <c r="A200" s="246" t="n"/>
      <c r="B200" s="246" t="n"/>
      <c r="C200" s="246" t="n"/>
      <c r="D200" s="246" t="n"/>
      <c r="E200" s="246" t="n"/>
      <c r="F200" s="246" t="n"/>
      <c r="G200" s="246" t="n"/>
      <c r="H200" s="246" t="n"/>
      <c r="I200" s="246" t="n"/>
      <c r="J200" s="246" t="n"/>
      <c r="K200" s="60" t="inlineStr">
        <is>
          <t xml:space="preserve">* Ốp inox che bàn cân A5 hay bị bung ra.
* Quầy cân H6 số kg hiển thị không ổn định.
</t>
        </is>
      </c>
      <c r="L200" s="60" t="inlineStr">
        <is>
          <t xml:space="preserve">* ĐCK ( Phúc ) thay bánh xe oval đến số 8 </t>
        </is>
      </c>
      <c r="M200" s="20" t="inlineStr">
        <is>
          <t>Ca đêm: K.Lâm</t>
        </is>
      </c>
    </row>
    <row r="201" ht="37.5" customHeight="1" s="22">
      <c r="A201" s="153" t="n">
        <v>45757</v>
      </c>
      <c r="B201" s="151" t="n">
        <v>149</v>
      </c>
      <c r="C201" s="151" t="n">
        <v>24170</v>
      </c>
      <c r="D201" s="151" t="n">
        <v>146</v>
      </c>
      <c r="E201" s="151" t="n">
        <v>24472</v>
      </c>
      <c r="F201" s="255" t="n">
        <v>25291</v>
      </c>
      <c r="G201" s="255" t="n">
        <v>3990</v>
      </c>
      <c r="H201" s="255" t="n">
        <v>23717</v>
      </c>
      <c r="I201" s="142" t="n">
        <v>160</v>
      </c>
      <c r="J201" s="143" t="n">
        <v>138</v>
      </c>
      <c r="K201" s="71" t="inlineStr">
        <is>
          <t>* Không có.</t>
        </is>
      </c>
      <c r="L201" s="60" t="inlineStr">
        <is>
          <t>* ĐCN bảo trì tủ điện khu vực Checkin AB.
* ĐCK (Tuấn Anh) chỉnh lại sensor cần gạt L6B01.</t>
        </is>
      </c>
      <c r="M201" s="20" t="inlineStr">
        <is>
          <t>Ca ngày: Chơn</t>
        </is>
      </c>
    </row>
    <row r="202">
      <c r="A202" s="246" t="n"/>
      <c r="B202" s="246" t="n"/>
      <c r="C202" s="246" t="n"/>
      <c r="D202" s="246" t="n"/>
      <c r="E202" s="246" t="n"/>
      <c r="F202" s="246" t="n"/>
      <c r="G202" s="246" t="n"/>
      <c r="H202" s="246" t="n"/>
      <c r="I202" s="246" t="n"/>
      <c r="J202" s="246" t="n"/>
      <c r="K202" s="71" t="inlineStr">
        <is>
          <t>* Không có.</t>
        </is>
      </c>
      <c r="L202" s="71" t="inlineStr">
        <is>
          <t>* Không có.</t>
        </is>
      </c>
      <c r="M202" s="20" t="inlineStr">
        <is>
          <t>Ca đêm: Thái</t>
        </is>
      </c>
    </row>
    <row r="203" ht="36.75" customHeight="1" s="22">
      <c r="A203" s="153" t="n">
        <v>45758</v>
      </c>
      <c r="B203" s="151" t="n">
        <v>141</v>
      </c>
      <c r="C203" s="151" t="n">
        <v>24554</v>
      </c>
      <c r="D203" s="151" t="n">
        <v>141</v>
      </c>
      <c r="E203" s="151" t="n">
        <v>24157</v>
      </c>
      <c r="F203" s="151" t="n">
        <v>25473</v>
      </c>
      <c r="G203" s="151" t="n">
        <v>4621</v>
      </c>
      <c r="H203" s="151" t="n">
        <v>23736</v>
      </c>
      <c r="I203" s="142" t="n">
        <v>155</v>
      </c>
      <c r="J203" s="143" t="n">
        <v>140</v>
      </c>
      <c r="K203" s="58" t="inlineStr">
        <is>
          <t>*Cân G7 release chập chờn không ổn định.</t>
        </is>
      </c>
      <c r="L203" s="60" t="inlineStr">
        <is>
          <t xml:space="preserve">*ĐCN(Khôi) bảo trì tủ departure line5, tủ băng chuyền đến số 8.
</t>
        </is>
      </c>
      <c r="M203" s="20" t="inlineStr">
        <is>
          <t>Ca ngày: Bình</t>
        </is>
      </c>
    </row>
    <row r="204">
      <c r="A204" s="246" t="n"/>
      <c r="B204" s="246" t="n"/>
      <c r="C204" s="246" t="n"/>
      <c r="D204" s="246" t="n"/>
      <c r="E204" s="246" t="n"/>
      <c r="F204" s="246" t="n"/>
      <c r="G204" s="246" t="n"/>
      <c r="H204" s="246" t="n"/>
      <c r="I204" s="246" t="n"/>
      <c r="J204" s="246" t="n"/>
      <c r="K204" s="58" t="inlineStr">
        <is>
          <t>* chuyển điện lúc 3h10, reset hoạt động bình thường.</t>
        </is>
      </c>
      <c r="L204" s="58" t="inlineStr">
        <is>
          <t>* ĐCN ( Toàn ) sửa release cân G7</t>
        </is>
      </c>
      <c r="M204" s="20" t="inlineStr">
        <is>
          <t>Ca đêm: Hùng</t>
        </is>
      </c>
    </row>
    <row r="205">
      <c r="A205" s="153" t="n">
        <v>45759</v>
      </c>
      <c r="B205" s="151" t="n">
        <v>147</v>
      </c>
      <c r="C205" s="151" t="n">
        <v>25445</v>
      </c>
      <c r="D205" s="151" t="n">
        <v>145</v>
      </c>
      <c r="E205" s="151" t="n">
        <v>23775</v>
      </c>
      <c r="F205" s="151" t="n">
        <v>25940</v>
      </c>
      <c r="G205" s="151" t="n">
        <v>4005</v>
      </c>
      <c r="H205" s="151" t="n">
        <v>23765</v>
      </c>
      <c r="I205" s="142" t="n">
        <v>156</v>
      </c>
      <c r="J205" s="143" t="n">
        <v>141</v>
      </c>
      <c r="K205" s="58" t="inlineStr">
        <is>
          <t>* Không có.</t>
        </is>
      </c>
      <c r="L205" s="60" t="inlineStr">
        <is>
          <t>* Không có.</t>
        </is>
      </c>
      <c r="M205" s="20" t="inlineStr">
        <is>
          <t>Ca ngày: Quân</t>
        </is>
      </c>
    </row>
    <row r="206">
      <c r="A206" s="246" t="n"/>
      <c r="B206" s="246" t="n"/>
      <c r="C206" s="246" t="n"/>
      <c r="D206" s="246" t="n"/>
      <c r="E206" s="246" t="n"/>
      <c r="F206" s="246" t="n"/>
      <c r="G206" s="246" t="n"/>
      <c r="H206" s="246" t="n"/>
      <c r="I206" s="246" t="n"/>
      <c r="J206" s="246" t="n"/>
      <c r="K206" s="58" t="inlineStr">
        <is>
          <t>* Chuyển điện lúc 3h15 =&gt; Reset hệ thống hoạt động bình thường.</t>
        </is>
      </c>
      <c r="L206" s="60" t="inlineStr">
        <is>
          <t>* Không có.</t>
        </is>
      </c>
      <c r="M206" s="20" t="inlineStr">
        <is>
          <t>Ca đêm: Vũ</t>
        </is>
      </c>
    </row>
    <row r="207">
      <c r="A207" s="150" t="n">
        <v>45760</v>
      </c>
      <c r="B207" s="151" t="n">
        <v>143</v>
      </c>
      <c r="C207" s="151" t="n">
        <v>25158</v>
      </c>
      <c r="D207" s="151" t="n">
        <v>144</v>
      </c>
      <c r="E207" s="151" t="n">
        <v>24122</v>
      </c>
      <c r="F207" s="151" t="n">
        <v>25680</v>
      </c>
      <c r="G207" s="151" t="n">
        <v>4295</v>
      </c>
      <c r="H207" s="151" t="n">
        <v>23785</v>
      </c>
      <c r="I207" s="142" t="n">
        <v>147</v>
      </c>
      <c r="J207" s="143" t="n">
        <v>135</v>
      </c>
      <c r="K207" s="58" t="inlineStr">
        <is>
          <t>* Khay 101 vẫn báo mất bánh xe liên tục, disable.</t>
        </is>
      </c>
      <c r="L207" s="60" t="inlineStr">
        <is>
          <t>* Không có.</t>
        </is>
      </c>
      <c r="M207" s="20" t="inlineStr">
        <is>
          <t>Ca ngày: Hùng</t>
        </is>
      </c>
    </row>
    <row r="208" ht="39.75" customHeight="1" s="22">
      <c r="A208" s="252" t="n"/>
      <c r="B208" s="246" t="n"/>
      <c r="C208" s="246" t="n"/>
      <c r="D208" s="246" t="n"/>
      <c r="E208" s="246" t="n"/>
      <c r="F208" s="246" t="n"/>
      <c r="G208" s="246" t="n"/>
      <c r="H208" s="246" t="n"/>
      <c r="I208" s="246" t="n"/>
      <c r="J208" s="246" t="n"/>
      <c r="K208" s="60" t="inlineStr">
        <is>
          <t>*Khay 128 vỡ miếng cover (hết vật tư thay thế) =&gt; disable 2 khay 128,
 và 127.</t>
        </is>
      </c>
      <c r="L208" s="60" t="inlineStr">
        <is>
          <t>* Không có.</t>
        </is>
      </c>
      <c r="M208" s="20" t="inlineStr">
        <is>
          <t>Ca đêm: Vũ</t>
        </is>
      </c>
    </row>
    <row r="209">
      <c r="A209" s="150" t="n">
        <v>45761</v>
      </c>
      <c r="B209" s="151" t="n">
        <v>143</v>
      </c>
      <c r="C209" s="151" t="n">
        <v>23901</v>
      </c>
      <c r="D209" s="151" t="n">
        <v>145</v>
      </c>
      <c r="E209" s="151" t="n">
        <v>23197</v>
      </c>
      <c r="F209" s="151" t="n">
        <v>24309</v>
      </c>
      <c r="G209" s="151" t="n">
        <v>3719</v>
      </c>
      <c r="H209" s="151" t="n">
        <v>23807</v>
      </c>
      <c r="I209" s="142" t="n">
        <v>151</v>
      </c>
      <c r="J209" s="143" t="n">
        <v>142</v>
      </c>
      <c r="K209" s="58" t="inlineStr">
        <is>
          <t>* Không có.</t>
        </is>
      </c>
      <c r="L209" s="58" t="inlineStr">
        <is>
          <t>* Không có.</t>
        </is>
      </c>
      <c r="M209" s="20" t="inlineStr">
        <is>
          <t>Ca ngày : Tú</t>
        </is>
      </c>
    </row>
    <row r="210" ht="74.25" customHeight="1" s="22">
      <c r="A210" s="252" t="n"/>
      <c r="B210" s="246" t="n"/>
      <c r="C210" s="246" t="n"/>
      <c r="D210" s="246" t="n"/>
      <c r="E210" s="246" t="n"/>
      <c r="F210" s="246" t="n"/>
      <c r="G210" s="246" t="n"/>
      <c r="H210" s="246" t="n"/>
      <c r="I210" s="246" t="n"/>
      <c r="J210" s="246" t="n"/>
      <c r="K210" s="58" t="inlineStr">
        <is>
          <t>* dây belt số 11 của induction 4 bị bong gân dẫn hướng =&gt; đã cắt bỏ.</t>
        </is>
      </c>
      <c r="L210" s="58" t="inlineStr">
        <is>
          <t>* Không có.</t>
        </is>
      </c>
      <c r="M210" s="20" t="inlineStr">
        <is>
          <t>Ca đêm: Hùng</t>
        </is>
      </c>
    </row>
    <row r="211" ht="42" customHeight="1" s="22">
      <c r="A211" s="150" t="n">
        <v>45762</v>
      </c>
      <c r="B211" s="151" t="n">
        <v>143</v>
      </c>
      <c r="C211" s="151" t="n">
        <v>24112</v>
      </c>
      <c r="D211" s="151" t="n">
        <v>144</v>
      </c>
      <c r="E211" s="151" t="n">
        <v>23315</v>
      </c>
      <c r="F211" s="151" t="n">
        <v>25619</v>
      </c>
      <c r="G211" s="151" t="n">
        <v>3685</v>
      </c>
      <c r="H211" s="151" t="n">
        <v>23829</v>
      </c>
      <c r="I211" s="142" t="n">
        <v>146</v>
      </c>
      <c r="J211" s="143" t="n">
        <v>142</v>
      </c>
      <c r="K211" s="58" t="inlineStr">
        <is>
          <t>* L3- 15 tapi hơi chùng. ĐCK(Chân) đã cân chỉnh, ca sau theo dõi thêm.</t>
        </is>
      </c>
      <c r="L211" s="58" t="inlineStr">
        <is>
          <t>* Không có.</t>
        </is>
      </c>
      <c r="M211" s="20" t="inlineStr">
        <is>
          <t>Ca ngày: Tuyến</t>
        </is>
      </c>
    </row>
    <row r="212">
      <c r="A212" s="252" t="n"/>
      <c r="B212" s="246" t="n"/>
      <c r="C212" s="246" t="n"/>
      <c r="D212" s="246" t="n"/>
      <c r="E212" s="246" t="n"/>
      <c r="F212" s="246" t="n"/>
      <c r="G212" s="246" t="n"/>
      <c r="H212" s="246" t="n"/>
      <c r="I212" s="246" t="n"/>
      <c r="J212" s="246" t="n"/>
      <c r="K212" s="58" t="inlineStr">
        <is>
          <t>*7h10-7h20 Mất BSM. Báo CNTT reset service, hdbt.</t>
        </is>
      </c>
      <c r="L212" s="58" t="inlineStr">
        <is>
          <t>* Không có.</t>
        </is>
      </c>
      <c r="M212" s="20" t="inlineStr">
        <is>
          <t>Ca đêm: Bình</t>
        </is>
      </c>
    </row>
    <row r="213">
      <c r="A213" s="150" t="n">
        <v>45763</v>
      </c>
      <c r="B213" s="151" t="n">
        <v>145</v>
      </c>
      <c r="C213" s="151" t="n">
        <v>25318</v>
      </c>
      <c r="D213" s="151" t="n">
        <v>139</v>
      </c>
      <c r="E213" s="151" t="n">
        <v>23534</v>
      </c>
      <c r="F213" s="151" t="n">
        <v>26058</v>
      </c>
      <c r="G213" s="151" t="n">
        <v>4249</v>
      </c>
      <c r="H213" s="151" t="n">
        <v>23854</v>
      </c>
      <c r="I213" s="142" t="n">
        <v>146</v>
      </c>
      <c r="J213" s="143" t="n">
        <v>135</v>
      </c>
      <c r="K213" s="58" t="inlineStr">
        <is>
          <t>* Không có.</t>
        </is>
      </c>
      <c r="L213" s="58" t="inlineStr">
        <is>
          <t>* Không có.</t>
        </is>
      </c>
      <c r="M213" s="20" t="inlineStr">
        <is>
          <t>Ca ngày: Hùng</t>
        </is>
      </c>
    </row>
    <row r="214" ht="93.75" customHeight="1" s="22">
      <c r="A214" s="252" t="n"/>
      <c r="B214" s="246" t="n"/>
      <c r="C214" s="246" t="n"/>
      <c r="D214" s="246" t="n"/>
      <c r="E214" s="246" t="n"/>
      <c r="F214" s="246" t="n"/>
      <c r="G214" s="246" t="n"/>
      <c r="H214" s="246" t="n"/>
      <c r="I214" s="246" t="n"/>
      <c r="J214" s="246" t="n"/>
      <c r="K214" s="60" t="inlineStr">
        <is>
          <t>* 01h18 chuyển điện nhánh L6 và bc đến A1. reset hoạt đông bình thường.
* Nút estop cần gạt đảo G hay bị dính tiếp điểm. Ca sau báo bảo trì kiểm tra lại.
* Đoạn L3-15 hay báo encoder. Ca sau báo CK kiểm tra lại.</t>
        </is>
      </c>
      <c r="L214" s="58" t="inlineStr">
        <is>
          <t>* Không có.</t>
        </is>
      </c>
      <c r="M214" s="20" t="inlineStr">
        <is>
          <t>Ca đêm: Vũ</t>
        </is>
      </c>
    </row>
    <row r="215" ht="56.25" customHeight="1" s="22">
      <c r="A215" s="150" t="n">
        <v>45764</v>
      </c>
      <c r="B215" s="151" t="n">
        <v>145</v>
      </c>
      <c r="C215" s="151" t="n">
        <v>24518</v>
      </c>
      <c r="D215" s="151" t="n">
        <v>149</v>
      </c>
      <c r="E215" s="151" t="n">
        <v>24671</v>
      </c>
      <c r="F215" s="151" t="n">
        <v>25273</v>
      </c>
      <c r="G215" s="151" t="n">
        <v>4237</v>
      </c>
      <c r="H215" s="151" t="n">
        <v>23878</v>
      </c>
      <c r="I215" s="142" t="n">
        <v>145</v>
      </c>
      <c r="J215" s="143" t="n">
        <v>148</v>
      </c>
      <c r="K215" s="60" t="inlineStr">
        <is>
          <t>* Nút E-stop cần gạt Row G hay bị dính tiếp điểm. Đã báo ĐCN. ĐCN  đã chỉnh lại estop cần gạt đảo G. hđbt.</t>
        </is>
      </c>
      <c r="L215" s="60" t="inlineStr">
        <is>
          <t xml:space="preserve">*ĐCN(khôi) bảo trì tủ băng chuyền đến số 8,
*ĐCK(Tuấn) thay lá tapi số 20 ovan 6.
</t>
        </is>
      </c>
      <c r="M215" s="20" t="inlineStr">
        <is>
          <t>Ca ngày: Bình</t>
        </is>
      </c>
    </row>
    <row r="216">
      <c r="A216" s="252" t="n"/>
      <c r="B216" s="246" t="n"/>
      <c r="C216" s="246" t="n"/>
      <c r="D216" s="246" t="n"/>
      <c r="E216" s="246" t="n"/>
      <c r="F216" s="246" t="n"/>
      <c r="G216" s="246" t="n"/>
      <c r="H216" s="246" t="n"/>
      <c r="I216" s="246" t="n"/>
      <c r="J216" s="246" t="n"/>
      <c r="K216" s="58" t="inlineStr">
        <is>
          <t>* Không có.</t>
        </is>
      </c>
      <c r="L216" s="58" t="inlineStr">
        <is>
          <t>* Không có.</t>
        </is>
      </c>
      <c r="M216" s="20" t="inlineStr">
        <is>
          <t>Ca đêm: Hùng</t>
        </is>
      </c>
    </row>
    <row r="217">
      <c r="A217" s="150" t="n">
        <v>45765</v>
      </c>
      <c r="B217" s="151" t="n">
        <v>144</v>
      </c>
      <c r="C217" s="151" t="n">
        <v>24797</v>
      </c>
      <c r="D217" s="151" t="n">
        <v>141</v>
      </c>
      <c r="E217" s="151" t="n">
        <v>23895</v>
      </c>
      <c r="F217" s="151" t="n">
        <v>25055</v>
      </c>
      <c r="G217" s="151" t="n">
        <v>3727</v>
      </c>
      <c r="H217" s="151" t="n">
        <v>23902</v>
      </c>
      <c r="I217" s="142" t="n">
        <v>145</v>
      </c>
      <c r="J217" s="143" t="n">
        <v>138</v>
      </c>
      <c r="K217" s="58" t="inlineStr">
        <is>
          <t>* Không có.</t>
        </is>
      </c>
      <c r="L217" s="60" t="inlineStr">
        <is>
          <t>ĐCK cắt beltt đóng móc, vệ sinh sàn L3-15</t>
        </is>
      </c>
      <c r="M217" s="20" t="inlineStr">
        <is>
          <t>Ca ngày:Vũ</t>
        </is>
      </c>
    </row>
    <row r="218">
      <c r="A218" s="252" t="n"/>
      <c r="B218" s="246" t="n"/>
      <c r="C218" s="246" t="n"/>
      <c r="D218" s="246" t="n"/>
      <c r="E218" s="246" t="n"/>
      <c r="F218" s="246" t="n"/>
      <c r="G218" s="246" t="n"/>
      <c r="H218" s="246" t="n"/>
      <c r="I218" s="246" t="n"/>
      <c r="J218" s="246" t="n"/>
      <c r="K218" s="58" t="inlineStr">
        <is>
          <t>* Không có.</t>
        </is>
      </c>
      <c r="L218" s="58" t="inlineStr">
        <is>
          <t>* Không có.</t>
        </is>
      </c>
      <c r="M218" s="20" t="inlineStr">
        <is>
          <t>Ca đêm: Quân</t>
        </is>
      </c>
    </row>
    <row r="219">
      <c r="A219" s="150" t="n">
        <v>45766</v>
      </c>
      <c r="B219" s="151" t="n">
        <v>146</v>
      </c>
      <c r="C219" s="151" t="n">
        <v>25459</v>
      </c>
      <c r="D219" s="151" t="n">
        <v>148</v>
      </c>
      <c r="E219" s="151" t="n">
        <v>23123</v>
      </c>
      <c r="F219" s="151" t="n">
        <v>25448</v>
      </c>
      <c r="G219" s="151" t="n">
        <v>3987</v>
      </c>
      <c r="H219" s="151" t="n">
        <v>23924</v>
      </c>
      <c r="I219" s="142" t="n">
        <v>146</v>
      </c>
      <c r="J219" s="143" t="n">
        <v>139</v>
      </c>
      <c r="K219" s="58" t="inlineStr">
        <is>
          <t>* Không có.</t>
        </is>
      </c>
      <c r="L219" s="58" t="inlineStr">
        <is>
          <t>* Không có.</t>
        </is>
      </c>
      <c r="M219" s="20" t="inlineStr">
        <is>
          <t>Ca ngày: Hùng</t>
        </is>
      </c>
    </row>
    <row r="220" ht="44.25" customHeight="1" s="22">
      <c r="A220" s="252" t="n"/>
      <c r="B220" s="246" t="n"/>
      <c r="C220" s="246" t="n"/>
      <c r="D220" s="246" t="n"/>
      <c r="E220" s="246" t="n"/>
      <c r="F220" s="246" t="n"/>
      <c r="G220" s="246" t="n"/>
      <c r="H220" s="246" t="n"/>
      <c r="I220" s="246" t="n"/>
      <c r="J220" s="246" t="n"/>
      <c r="K220" s="60" t="inlineStr">
        <is>
          <t xml:space="preserve">* Sorter báo ''No connetion from PLC to CST'' 04 lần (lúc 22h18, 22h38, 23h01, 23h17) =&gt; Reset hoạt động bình thường.
</t>
        </is>
      </c>
      <c r="L220" s="58" t="inlineStr">
        <is>
          <t>* Không có.</t>
        </is>
      </c>
      <c r="M220" s="20" t="inlineStr">
        <is>
          <t>Ca đêm: Vũ</t>
        </is>
      </c>
    </row>
    <row r="221">
      <c r="A221" s="150" t="n">
        <v>45767</v>
      </c>
      <c r="B221" s="151" t="n">
        <v>141</v>
      </c>
      <c r="C221" s="151" t="n">
        <v>25656</v>
      </c>
      <c r="D221" s="151" t="n">
        <v>139</v>
      </c>
      <c r="E221" s="151" t="n">
        <v>22938</v>
      </c>
      <c r="F221" s="151" t="n">
        <v>25352</v>
      </c>
      <c r="G221" s="151" t="n">
        <v>4447</v>
      </c>
      <c r="H221" s="151" t="n">
        <v>23947</v>
      </c>
      <c r="I221" s="142" t="n">
        <v>143</v>
      </c>
      <c r="J221" s="143" t="n">
        <v>140</v>
      </c>
      <c r="K221" s="58" t="inlineStr">
        <is>
          <t>* Không có.</t>
        </is>
      </c>
      <c r="L221" s="58" t="inlineStr">
        <is>
          <t>* Không có.</t>
        </is>
      </c>
      <c r="M221" s="20" t="inlineStr">
        <is>
          <t>Ca ngày: Bình</t>
        </is>
      </c>
    </row>
    <row r="222">
      <c r="A222" s="252" t="n"/>
      <c r="B222" s="246" t="n"/>
      <c r="C222" s="246" t="n"/>
      <c r="D222" s="246" t="n"/>
      <c r="E222" s="246" t="n"/>
      <c r="F222" s="246" t="n"/>
      <c r="G222" s="246" t="n"/>
      <c r="H222" s="246" t="n"/>
      <c r="I222" s="246" t="n"/>
      <c r="J222" s="246" t="n"/>
      <c r="K222" s="60" t="inlineStr">
        <is>
          <t>* Không có.</t>
        </is>
      </c>
      <c r="L222" s="58" t="inlineStr">
        <is>
          <t>* Không có.</t>
        </is>
      </c>
      <c r="M222" s="20" t="inlineStr">
        <is>
          <t>Ca đêm: Hùng</t>
        </is>
      </c>
    </row>
    <row r="223" ht="56.25" customHeight="1" s="22">
      <c r="A223" s="150" t="n">
        <v>45768</v>
      </c>
      <c r="B223" s="151" t="n">
        <v>145</v>
      </c>
      <c r="C223" s="151" t="n">
        <v>25799</v>
      </c>
      <c r="D223" s="151" t="n">
        <v>144</v>
      </c>
      <c r="E223" s="151" t="n">
        <v>23455</v>
      </c>
      <c r="F223" s="151" t="n">
        <v>23892</v>
      </c>
      <c r="G223" s="151" t="n">
        <v>4032</v>
      </c>
      <c r="H223" s="151" t="n">
        <v>23971</v>
      </c>
      <c r="I223" s="142" t="n">
        <v>148</v>
      </c>
      <c r="J223" s="143" t="n">
        <v>145</v>
      </c>
      <c r="K223" s="58" t="inlineStr">
        <is>
          <t>* Máy soi A3 bị hư =&gt; Đã báo AOCC dừng khai thác.</t>
        </is>
      </c>
      <c r="L223" s="60" t="inlineStr">
        <is>
          <t xml:space="preserve">* ĐCN bảo trì các tủ điện A1-A8
* CK bảo trì L1-L6.
</t>
        </is>
      </c>
      <c r="M223" s="20" t="inlineStr">
        <is>
          <t>Ca ngày: Vũ</t>
        </is>
      </c>
    </row>
    <row r="224">
      <c r="A224" s="252" t="n"/>
      <c r="B224" s="246" t="n"/>
      <c r="C224" s="246" t="n"/>
      <c r="D224" s="246" t="n"/>
      <c r="E224" s="246" t="n"/>
      <c r="F224" s="246" t="n"/>
      <c r="G224" s="246" t="n"/>
      <c r="H224" s="246" t="n"/>
      <c r="I224" s="246" t="n"/>
      <c r="J224" s="246" t="n"/>
      <c r="K224" s="60" t="inlineStr">
        <is>
          <t>* Không có.</t>
        </is>
      </c>
      <c r="L224" s="58" t="inlineStr">
        <is>
          <t>*ĐCK (Thanh) thay mới tapi ME2-11.</t>
        </is>
      </c>
      <c r="M224" s="20" t="inlineStr">
        <is>
          <t>Ca đêm: Bình</t>
        </is>
      </c>
    </row>
    <row r="225" ht="37.5" customHeight="1" s="22">
      <c r="A225" s="150" t="n">
        <v>45769</v>
      </c>
      <c r="B225" s="151" t="n">
        <v>153</v>
      </c>
      <c r="C225" s="151" t="n">
        <v>24191</v>
      </c>
      <c r="D225" s="151" t="n">
        <v>153</v>
      </c>
      <c r="E225" s="151" t="n">
        <v>21566</v>
      </c>
      <c r="F225" s="151" t="n">
        <v>25901</v>
      </c>
      <c r="G225" s="151" t="n">
        <v>4285</v>
      </c>
      <c r="H225" s="151" t="n">
        <v>23993</v>
      </c>
      <c r="I225" s="142" t="n">
        <v>145</v>
      </c>
      <c r="J225" s="143" t="n">
        <v>137</v>
      </c>
      <c r="K225" s="60" t="inlineStr">
        <is>
          <t>* Khay 95 bị vênh =&gt; Disabled.
* Máy soi A3  bị hư =&gt; Tạm dừng khai thác.</t>
        </is>
      </c>
      <c r="L225" s="60" t="inlineStr">
        <is>
          <t>*ĐCK Thay phốt SM1-3 và L2-25</t>
        </is>
      </c>
      <c r="M225" s="20" t="inlineStr">
        <is>
          <t>Ca ngày: Hùng</t>
        </is>
      </c>
    </row>
    <row r="226">
      <c r="A226" s="252" t="n"/>
      <c r="B226" s="246" t="n"/>
      <c r="C226" s="246" t="n"/>
      <c r="D226" s="246" t="n"/>
      <c r="E226" s="246" t="n"/>
      <c r="F226" s="246" t="n"/>
      <c r="G226" s="246" t="n"/>
      <c r="H226" s="246" t="n"/>
      <c r="I226" s="246" t="n"/>
      <c r="J226" s="246" t="n"/>
      <c r="K226" s="60" t="inlineStr">
        <is>
          <t>* Khay 102 bị gãy chân. Disable</t>
        </is>
      </c>
      <c r="L226" s="58" t="inlineStr">
        <is>
          <t>* Không có.</t>
        </is>
      </c>
      <c r="M226" s="20" t="inlineStr">
        <is>
          <t>Ca ngày: Vũ</t>
        </is>
      </c>
    </row>
    <row r="227" ht="98.25" customHeight="1" s="22">
      <c r="A227" s="150" t="n">
        <v>45770</v>
      </c>
      <c r="B227" s="151" t="n">
        <v>143</v>
      </c>
      <c r="C227" s="151" t="n">
        <v>24905</v>
      </c>
      <c r="D227" s="151" t="n">
        <v>135</v>
      </c>
      <c r="E227" s="151" t="n">
        <v>21158</v>
      </c>
      <c r="F227" s="151" t="n">
        <v>26119</v>
      </c>
      <c r="G227" s="151" t="n">
        <v>4067</v>
      </c>
      <c r="H227" s="151" t="n">
        <v>24015</v>
      </c>
      <c r="I227" s="142" t="n">
        <v>147</v>
      </c>
      <c r="J227" s="143" t="n">
        <v>137</v>
      </c>
      <c r="K227" s="60" t="n"/>
      <c r="L227" s="60" t="inlineStr">
        <is>
          <t>* ĐCK thay tapi băng cong L1-28.
* ĐCN bảo trì Estop + Sensor line 5
* ĐCK thay bạc đạn băng cong ME2-6
* ĐCK Đóng móc tapi L3-8, L6-11
* ĐCK thay băng tải ME2-11</t>
        </is>
      </c>
      <c r="M227" s="20" t="inlineStr">
        <is>
          <t>Ca ngày: Quân</t>
        </is>
      </c>
    </row>
    <row r="228" ht="54" customHeight="1" s="22">
      <c r="A228" s="252" t="n"/>
      <c r="B228" s="246" t="n"/>
      <c r="C228" s="246" t="n"/>
      <c r="D228" s="246" t="n"/>
      <c r="E228" s="246" t="n"/>
      <c r="F228" s="246" t="n"/>
      <c r="G228" s="246" t="n"/>
      <c r="H228" s="246" t="n"/>
      <c r="I228" s="246" t="n"/>
      <c r="J228" s="246" t="n"/>
      <c r="K228" s="60" t="inlineStr">
        <is>
          <t>* Không có.</t>
        </is>
      </c>
      <c r="L228" s="58" t="inlineStr">
        <is>
          <t xml:space="preserve"> * Không có.</t>
        </is>
      </c>
      <c r="M228" s="20" t="inlineStr">
        <is>
          <t>Ca đêm: Hùng</t>
        </is>
      </c>
    </row>
    <row r="229" ht="112.5" customHeight="1" s="22">
      <c r="A229" s="150" t="n">
        <v>45771</v>
      </c>
      <c r="B229" s="151" t="n">
        <v>144</v>
      </c>
      <c r="C229" s="151" t="n">
        <v>24710</v>
      </c>
      <c r="D229" s="151" t="n">
        <v>147</v>
      </c>
      <c r="E229" s="151" t="n">
        <v>23085</v>
      </c>
      <c r="F229" s="151" t="n">
        <v>25855</v>
      </c>
      <c r="G229" s="151" t="n">
        <v>3641</v>
      </c>
      <c r="H229" s="151" t="n">
        <v>24038</v>
      </c>
      <c r="I229" s="142" t="n">
        <v>145</v>
      </c>
      <c r="J229" s="143" t="n">
        <v>139</v>
      </c>
      <c r="K229" s="60" t="inlineStr">
        <is>
          <t>* Không có.</t>
        </is>
      </c>
      <c r="L229" s="60" t="inlineStr">
        <is>
          <t xml:space="preserve">* CK thay Rulo chủ động L4-18.
* CK thay bạc đạn giữ gân dẫn hướng ME2-6 (NR2).
* ĐCN (Khôi) bảo trì các nút E-stop khu vực Checkin L1.
* ĐCN (Phúc) vệ sinh tủ điện Checkin đảo K-L.
*
</t>
        </is>
      </c>
      <c r="M229" s="20" t="inlineStr">
        <is>
          <t>Ca ngày: Vũ</t>
        </is>
      </c>
    </row>
    <row r="230">
      <c r="A230" s="252" t="n"/>
      <c r="B230" s="246" t="n"/>
      <c r="C230" s="246" t="n"/>
      <c r="D230" s="246" t="n"/>
      <c r="E230" s="246" t="n"/>
      <c r="F230" s="246" t="n"/>
      <c r="G230" s="246" t="n"/>
      <c r="H230" s="246" t="n"/>
      <c r="I230" s="246" t="n"/>
      <c r="J230" s="246" t="n"/>
      <c r="K230" s="60" t="inlineStr">
        <is>
          <t>* Không có.</t>
        </is>
      </c>
      <c r="L230" s="60" t="inlineStr">
        <is>
          <t>* Không có.</t>
        </is>
      </c>
      <c r="M230" s="20" t="inlineStr">
        <is>
          <t>Ca đêm: Bình</t>
        </is>
      </c>
    </row>
    <row r="231">
      <c r="A231" s="150" t="n">
        <v>45772</v>
      </c>
      <c r="B231" s="151" t="n">
        <v>142</v>
      </c>
      <c r="C231" s="151" t="n">
        <v>27322</v>
      </c>
      <c r="D231" s="151" t="n">
        <v>140</v>
      </c>
      <c r="E231" s="151" t="n">
        <v>22793</v>
      </c>
      <c r="F231" s="151" t="n">
        <v>27549</v>
      </c>
      <c r="G231" s="151" t="n">
        <v>4588</v>
      </c>
      <c r="H231" s="151" t="n">
        <v>24063</v>
      </c>
      <c r="I231" s="142" t="n">
        <v>147</v>
      </c>
      <c r="J231" s="143" t="n">
        <v>137</v>
      </c>
      <c r="K231" s="60" t="inlineStr">
        <is>
          <t>* Không có.</t>
        </is>
      </c>
      <c r="L231" s="60" t="inlineStr">
        <is>
          <t>* ĐCK thay belt L1-30, sửa cân K9 và E2</t>
        </is>
      </c>
      <c r="M231" s="20" t="inlineStr">
        <is>
          <t>Ca ngày: Hùng</t>
        </is>
      </c>
    </row>
    <row r="232" ht="114.75" customHeight="1" s="22">
      <c r="A232" s="252" t="n"/>
      <c r="B232" s="246" t="n"/>
      <c r="C232" s="246" t="n"/>
      <c r="D232" s="246" t="n"/>
      <c r="E232" s="246" t="n"/>
      <c r="F232" s="246" t="n"/>
      <c r="G232" s="246" t="n"/>
      <c r="H232" s="246" t="n"/>
      <c r="I232" s="246" t="n"/>
      <c r="J232" s="246" t="n"/>
      <c r="K232" s="60" t="inlineStr">
        <is>
          <t>* Không có.</t>
        </is>
      </c>
      <c r="L232" s="60" t="inlineStr">
        <is>
          <t>* ĐCK thay bánh xe chịu tải của Oval RT 4: 90 (ct dưới). Oval RT 1: 213 (ct dưới), 221 (ct trên). Oval RT2: 48 (ct trên), 93 (ct dưới). Oval RT 6: 137, 145, 19, 21, 103, 122, 199, 127, 14, 10, 120 (ct trên); 51, 137 (ct dưới). Oval RT 5: 14, 16 , 40, 49, 52 (ct trên).</t>
        </is>
      </c>
      <c r="M232" s="20" t="inlineStr">
        <is>
          <t>Ca đêm: Vũ</t>
        </is>
      </c>
      <c r="N232" s="46">
        <f>H229:H233-H181</f>
        <v/>
      </c>
    </row>
    <row r="233" ht="37.5" customHeight="1" s="22">
      <c r="A233" s="150" t="n">
        <v>45773</v>
      </c>
      <c r="B233" s="151" t="n">
        <v>149</v>
      </c>
      <c r="C233" s="151" t="n">
        <v>27826</v>
      </c>
      <c r="D233" s="151" t="n">
        <v>147</v>
      </c>
      <c r="E233" s="151" t="n">
        <v>22554</v>
      </c>
      <c r="F233" s="151" t="n">
        <v>28233</v>
      </c>
      <c r="G233" s="151" t="n">
        <v>4853</v>
      </c>
      <c r="H233" s="151" t="n">
        <v>24086</v>
      </c>
      <c r="I233" s="142" t="n">
        <v>155</v>
      </c>
      <c r="J233" s="143" t="n">
        <v>130</v>
      </c>
      <c r="K233" s="60" t="inlineStr">
        <is>
          <t>* Không có.</t>
        </is>
      </c>
      <c r="L233" s="60" t="inlineStr">
        <is>
          <t>* ĐCK thay rulo đỡ + bạc đạn ME2-9, bơm mỡ + chỉnh lại vòng lock bạc đạn rulo đỡ B/C ME2-11</t>
        </is>
      </c>
      <c r="M233" s="20" t="inlineStr">
        <is>
          <t>Ca ngày: Bình</t>
        </is>
      </c>
    </row>
    <row r="234" ht="33.75" customHeight="1" s="22">
      <c r="A234" s="252" t="n"/>
      <c r="B234" s="246" t="n"/>
      <c r="C234" s="246" t="n"/>
      <c r="D234" s="246" t="n"/>
      <c r="E234" s="246" t="n"/>
      <c r="F234" s="246" t="n"/>
      <c r="G234" s="246" t="n"/>
      <c r="H234" s="246" t="n"/>
      <c r="I234" s="246" t="n"/>
      <c r="J234" s="246" t="n"/>
      <c r="K234" s="60" t="n"/>
      <c r="L234" s="60" t="inlineStr">
        <is>
          <t xml:space="preserve">* ĐCK thay belt SM2-3 </t>
        </is>
      </c>
      <c r="M234" s="20" t="inlineStr">
        <is>
          <t>Ca đêm: Hùng</t>
        </is>
      </c>
    </row>
    <row r="235">
      <c r="A235" s="150" t="n">
        <v>45774</v>
      </c>
      <c r="B235" s="151" t="n">
        <v>141</v>
      </c>
      <c r="C235" s="151" t="n">
        <v>26440</v>
      </c>
      <c r="D235" s="151" t="n">
        <v>140</v>
      </c>
      <c r="E235" s="151" t="n">
        <v>22253</v>
      </c>
      <c r="F235" s="151" t="n">
        <v>26840</v>
      </c>
      <c r="G235" s="151" t="n">
        <v>4489</v>
      </c>
      <c r="H235" s="151" t="n">
        <v>24109</v>
      </c>
      <c r="I235" s="142" t="n">
        <v>150</v>
      </c>
      <c r="J235" s="143" t="n">
        <v>136</v>
      </c>
      <c r="K235" s="60" t="inlineStr">
        <is>
          <t>* Không có.</t>
        </is>
      </c>
      <c r="L235" s="60" t="inlineStr">
        <is>
          <t>* Không có.</t>
        </is>
      </c>
      <c r="M235" s="20" t="inlineStr">
        <is>
          <t>Ca ngày: Vũ</t>
        </is>
      </c>
    </row>
    <row r="236">
      <c r="A236" s="252" t="n"/>
      <c r="B236" s="246" t="n"/>
      <c r="C236" s="246" t="n"/>
      <c r="D236" s="246" t="n"/>
      <c r="E236" s="246" t="n"/>
      <c r="F236" s="246" t="n"/>
      <c r="G236" s="246" t="n"/>
      <c r="H236" s="246" t="n"/>
      <c r="I236" s="246" t="n"/>
      <c r="J236" s="246" t="n"/>
      <c r="K236" s="60" t="inlineStr">
        <is>
          <t>* Không có.</t>
        </is>
      </c>
      <c r="L236" s="60" t="inlineStr">
        <is>
          <t>* Không có.</t>
        </is>
      </c>
      <c r="M236" s="20" t="inlineStr">
        <is>
          <t>Ca đêm: Bình</t>
        </is>
      </c>
    </row>
    <row r="237" ht="93.75" customHeight="1" s="22">
      <c r="A237" s="150" t="n">
        <v>45775</v>
      </c>
      <c r="B237" s="151" t="n">
        <v>146</v>
      </c>
      <c r="C237" s="151" t="n">
        <v>26845</v>
      </c>
      <c r="D237" s="151" t="n">
        <v>146</v>
      </c>
      <c r="E237" s="151" t="n">
        <v>22543</v>
      </c>
      <c r="F237" s="151" t="n">
        <v>23891</v>
      </c>
      <c r="G237" s="151" t="n">
        <v>4052</v>
      </c>
      <c r="H237" s="151" t="n">
        <v>24130</v>
      </c>
      <c r="I237" s="142" t="n">
        <v>145</v>
      </c>
      <c r="J237" s="143" t="n">
        <v>136</v>
      </c>
      <c r="K237" s="116" t="inlineStr">
        <is>
          <t>* rulo chủ động L3B-110 bị cộm và có mùi cao su . Đã báo đck
* Lá tapi 99 ovan đi 6 và 79 ovan đi 5, 127 ovan đi 3 mất cục gù 
* 13h23 mất kết nối bsm, chuyển hệ thống sang chế độ back up. 15h54 đội IT đã khắc phục lỗi mất bsm, chuyển hệ thống về chế độ sorter, hđbt.</t>
        </is>
      </c>
      <c r="L237" s="60" t="inlineStr">
        <is>
          <t>* ĐCK thay rulo chỉnh L2-30</t>
        </is>
      </c>
      <c r="M237" s="20" t="inlineStr">
        <is>
          <t>Ca ngày: Hùng</t>
        </is>
      </c>
    </row>
    <row r="238" ht="37.5" customHeight="1" s="22">
      <c r="A238" s="252" t="n"/>
      <c r="B238" s="246" t="n"/>
      <c r="C238" s="246" t="n"/>
      <c r="D238" s="246" t="n"/>
      <c r="E238" s="246" t="n"/>
      <c r="F238" s="246" t="n"/>
      <c r="G238" s="246" t="n"/>
      <c r="H238" s="246" t="n"/>
      <c r="I238" s="246" t="n"/>
      <c r="J238" s="246" t="n"/>
      <c r="K238" s="116" t="inlineStr">
        <is>
          <t>* Khay 106 gãy chân =&gt; Disabled.</t>
        </is>
      </c>
      <c r="L238" s="60" t="inlineStr">
        <is>
          <t>* ĐCK thay lá tapi số 79 cho Oval RT 5; thay bánh xe dẫn hướng: 111, 115, 41, 42, 43, 45 cho Oval RT 6.</t>
        </is>
      </c>
      <c r="M238" s="20" t="inlineStr">
        <is>
          <t>Ca đêm: Vũ</t>
        </is>
      </c>
    </row>
    <row r="239" ht="37.5" customHeight="1" s="22">
      <c r="A239" s="150" t="n">
        <v>45776</v>
      </c>
      <c r="B239" s="151" t="n">
        <v>146</v>
      </c>
      <c r="C239" s="151" t="n">
        <v>27664</v>
      </c>
      <c r="D239" s="151" t="n">
        <v>145</v>
      </c>
      <c r="E239" s="151" t="n">
        <v>22369</v>
      </c>
      <c r="F239" s="151" t="n">
        <v>29125</v>
      </c>
      <c r="G239" s="151" t="n">
        <v>4718</v>
      </c>
      <c r="H239" s="151" t="n">
        <v>24154</v>
      </c>
      <c r="I239" s="142" t="n">
        <v>157</v>
      </c>
      <c r="J239" s="143" t="n">
        <v>125</v>
      </c>
      <c r="K239" s="116" t="inlineStr">
        <is>
          <t>* Khay 18 mất vòng nhựa của bánh xe dẫn hướng</t>
        </is>
      </c>
      <c r="L239" s="60" t="inlineStr">
        <is>
          <t>* ĐCK thay 1 bánh xe dẫn hướng cart 18, gia cố lại lưới khu vực NR</t>
        </is>
      </c>
      <c r="M239" s="20" t="inlineStr">
        <is>
          <t>Ca ngày:  Hùng</t>
        </is>
      </c>
    </row>
    <row r="240" ht="190.5" customHeight="1" s="22">
      <c r="A240" s="252" t="n"/>
      <c r="B240" s="246" t="n"/>
      <c r="C240" s="246" t="n"/>
      <c r="D240" s="246" t="n"/>
      <c r="E240" s="246" t="n"/>
      <c r="F240" s="246" t="n"/>
      <c r="G240" s="246" t="n"/>
      <c r="H240" s="246" t="n"/>
      <c r="I240" s="246" t="n"/>
      <c r="J240" s="246" t="n"/>
      <c r="K240" s="116" t="inlineStr">
        <is>
          <t>* Không có .</t>
        </is>
      </c>
      <c r="L240" s="60" t="inlineStr">
        <is>
          <t>* ĐCK thay bánh xe dẫn hướng oval đi số 1: 129,192.
- bánh xe chịu tải trên: 179;181;182;183;184;188. và chịu tải 
dưới : 182.
* Oval đi 3 gồm: bánh dẫn hướng 24; chịu tải trên 20; ống lót số 8; lá tapi số 8;127. và xử lí bánh ép ma sát số 3 của hộp truyền lực phía ngoài sân đỗ bị rơi ra, thay 1 bánh mới. 
* Oval đi 5: lá tapi 118; chốt nhựa số 118;119.
* Oval đi 6 : lá tapi số 2.</t>
        </is>
      </c>
      <c r="M240" s="20" t="inlineStr">
        <is>
          <t>Ca đêm : Tú</t>
        </is>
      </c>
    </row>
    <row r="241" ht="33.75" customHeight="1" s="22">
      <c r="A241" s="150" t="n">
        <v>45777</v>
      </c>
      <c r="B241" s="151" t="n">
        <v>157</v>
      </c>
      <c r="C241" s="151" t="n">
        <v>28510</v>
      </c>
      <c r="D241" s="151" t="n">
        <v>150</v>
      </c>
      <c r="E241" s="151" t="n">
        <v>25065</v>
      </c>
      <c r="F241" s="151" t="n">
        <v>28101</v>
      </c>
      <c r="G241" s="151" t="n">
        <v>4731</v>
      </c>
      <c r="H241" s="151" t="n">
        <v>24176</v>
      </c>
      <c r="I241" s="142" t="n">
        <v>155</v>
      </c>
      <c r="J241" s="143" t="n">
        <v>130</v>
      </c>
      <c r="K241" s="116" t="inlineStr">
        <is>
          <t>* Không có .</t>
        </is>
      </c>
      <c r="L241" s="116" t="inlineStr">
        <is>
          <t>* Không có .</t>
        </is>
      </c>
      <c r="M241" s="20" t="inlineStr">
        <is>
          <t>Ca ngày: Quân</t>
        </is>
      </c>
    </row>
    <row r="242" ht="33" customHeight="1" s="22">
      <c r="A242" s="252" t="n"/>
      <c r="B242" s="246" t="n"/>
      <c r="C242" s="246" t="n"/>
      <c r="D242" s="246" t="n"/>
      <c r="E242" s="246" t="n"/>
      <c r="F242" s="246" t="n"/>
      <c r="G242" s="246" t="n"/>
      <c r="H242" s="246" t="n"/>
      <c r="I242" s="246" t="n"/>
      <c r="J242" s="246" t="n"/>
      <c r="K242" s="116" t="inlineStr">
        <is>
          <t>00:18 nhá điện reset hđbt</t>
        </is>
      </c>
      <c r="L242" s="116" t="inlineStr">
        <is>
          <t>* Không có .</t>
        </is>
      </c>
      <c r="M242" s="20" t="inlineStr">
        <is>
          <t>Ca đêm: Bình</t>
        </is>
      </c>
    </row>
    <row r="243">
      <c r="A243" s="150" t="n">
        <v>45778</v>
      </c>
      <c r="B243" s="151" t="n">
        <v>147</v>
      </c>
      <c r="C243" s="151" t="n">
        <v>25436</v>
      </c>
      <c r="D243" s="151" t="n">
        <v>149</v>
      </c>
      <c r="E243" s="151" t="n">
        <v>25134</v>
      </c>
      <c r="F243" s="151" t="n">
        <v>24559</v>
      </c>
      <c r="G243" s="151" t="n">
        <v>4008</v>
      </c>
      <c r="H243" s="151" t="n">
        <v>24200</v>
      </c>
      <c r="I243" s="142" t="n">
        <v>145</v>
      </c>
      <c r="J243" s="143" t="n">
        <v>137</v>
      </c>
      <c r="K243" s="116" t="inlineStr">
        <is>
          <t>* Không có .</t>
        </is>
      </c>
      <c r="L243" s="116" t="inlineStr">
        <is>
          <t>* Không có .</t>
        </is>
      </c>
      <c r="M243" s="20" t="inlineStr">
        <is>
          <t>Ca ngày: Hùng</t>
        </is>
      </c>
    </row>
    <row r="244">
      <c r="A244" s="252" t="n"/>
      <c r="B244" s="246" t="n"/>
      <c r="C244" s="246" t="n"/>
      <c r="D244" s="246" t="n"/>
      <c r="E244" s="246" t="n"/>
      <c r="F244" s="246" t="n"/>
      <c r="G244" s="246" t="n"/>
      <c r="H244" s="246" t="n"/>
      <c r="I244" s="246" t="n"/>
      <c r="J244" s="246" t="n"/>
      <c r="K244" s="116" t="inlineStr">
        <is>
          <t>* Khay 58 thường xuyên báo mất bánh xe =&gt; Disabled</t>
        </is>
      </c>
      <c r="L244" s="116" t="inlineStr">
        <is>
          <t>* Không có .</t>
        </is>
      </c>
      <c r="M244" s="20" t="inlineStr">
        <is>
          <t>Ca đêm: Vũ</t>
        </is>
      </c>
    </row>
    <row r="245">
      <c r="A245" s="150" t="n">
        <v>45779</v>
      </c>
      <c r="B245" s="151" t="n">
        <v>145</v>
      </c>
      <c r="C245" s="151" t="n">
        <v>23254</v>
      </c>
      <c r="D245" s="151" t="n">
        <v>144</v>
      </c>
      <c r="E245" s="151" t="n">
        <v>24998</v>
      </c>
      <c r="F245" s="151" t="n">
        <v>23137</v>
      </c>
      <c r="G245" s="151" t="n">
        <v>3973</v>
      </c>
      <c r="H245" s="151" t="n">
        <v>24223</v>
      </c>
      <c r="I245" s="142" t="n">
        <v>145</v>
      </c>
      <c r="J245" s="143" t="n">
        <v>136</v>
      </c>
      <c r="K245" s="116" t="inlineStr">
        <is>
          <t>* L1-42 motor bị chảy nhớt =&gt; ca sau báo CK giúp</t>
        </is>
      </c>
      <c r="L245" s="116" t="inlineStr">
        <is>
          <t>* Không có .</t>
        </is>
      </c>
      <c r="M245" s="20" t="inlineStr">
        <is>
          <t>Ca ngày: Bình</t>
        </is>
      </c>
    </row>
    <row r="246" ht="56.25" customHeight="1" s="22">
      <c r="A246" s="252" t="n"/>
      <c r="B246" s="246" t="n"/>
      <c r="C246" s="246" t="n"/>
      <c r="D246" s="246" t="n"/>
      <c r="E246" s="246" t="n"/>
      <c r="F246" s="246" t="n"/>
      <c r="G246" s="246" t="n"/>
      <c r="H246" s="246" t="n"/>
      <c r="I246" s="246" t="n"/>
      <c r="J246" s="246" t="n"/>
      <c r="K246" s="116" t="inlineStr">
        <is>
          <t>* Không có .</t>
        </is>
      </c>
      <c r="L246" s="116" t="inlineStr">
        <is>
          <t xml:space="preserve">* ĐCK thay bánh xe dẫn hướng ovan đi 2 : 17,180 
    - Ovan 6: 21,22,23,25,28,54,16,17,19,33; chịu tải trên 140, 134, 131; chịu tải dưới : 55  </t>
        </is>
      </c>
      <c r="M246" s="20" t="inlineStr">
        <is>
          <t>Ca đêm: Hùng</t>
        </is>
      </c>
    </row>
    <row r="247" ht="37.5" customHeight="1" s="22">
      <c r="A247" s="150" t="n">
        <v>45780</v>
      </c>
      <c r="B247" s="151" t="n">
        <v>146</v>
      </c>
      <c r="C247" s="151" t="n">
        <v>24073</v>
      </c>
      <c r="D247" s="151" t="n">
        <v>143</v>
      </c>
      <c r="E247" s="151" t="n">
        <v>24593</v>
      </c>
      <c r="F247" s="151" t="n">
        <v>23740</v>
      </c>
      <c r="G247" s="151" t="n">
        <v>3312</v>
      </c>
      <c r="H247" s="151" t="n">
        <v>24246</v>
      </c>
      <c r="I247" s="142" t="n">
        <v>148</v>
      </c>
      <c r="J247" s="143" t="n">
        <v>137</v>
      </c>
      <c r="K247" s="116" t="inlineStr">
        <is>
          <t>* máy soi hải quan băng chuyền đến A3 đội điện tử đã sửa xong. Hđbt.</t>
        </is>
      </c>
      <c r="L247" s="116" t="inlineStr">
        <is>
          <t>* Không có .</t>
        </is>
      </c>
      <c r="M247" s="20" t="inlineStr">
        <is>
          <t>Ca ngày: Quân</t>
        </is>
      </c>
    </row>
    <row r="248" ht="64.5" customHeight="1" s="22">
      <c r="A248" s="252" t="n"/>
      <c r="B248" s="246" t="n"/>
      <c r="C248" s="246" t="n"/>
      <c r="D248" s="246" t="n"/>
      <c r="E248" s="246" t="n"/>
      <c r="F248" s="246" t="n"/>
      <c r="G248" s="246" t="n"/>
      <c r="H248" s="246" t="n"/>
      <c r="I248" s="246" t="n"/>
      <c r="J248" s="246" t="n"/>
      <c r="K248" s="116" t="inlineStr">
        <is>
          <t>23h03, 23h24 Sorter Not Synchronized, mất kết nói PLC SAC reset hđbt.</t>
        </is>
      </c>
      <c r="L248" s="116" t="inlineStr">
        <is>
          <t>*ĐCK thay bánh xe dẫn hướng ovan đi số 6: 6, 7, 18, 30, 31, 43, 48, 49, 50, 67, 73, 74, 85, 89, 91, 94, 95, 103B, 104, 104B, 106, 130, 140, 141, 144</t>
        </is>
      </c>
      <c r="M248" s="121" t="inlineStr">
        <is>
          <t>Ca đêm: Bình</t>
        </is>
      </c>
    </row>
    <row r="249" ht="33" customHeight="1" s="22">
      <c r="A249" s="150" t="n">
        <v>45781</v>
      </c>
      <c r="B249" s="151" t="n">
        <v>142</v>
      </c>
      <c r="C249" s="151" t="n">
        <v>24919</v>
      </c>
      <c r="D249" s="151" t="n">
        <v>147</v>
      </c>
      <c r="E249" s="151" t="n">
        <v>26239</v>
      </c>
      <c r="F249" s="151" t="n">
        <v>25489</v>
      </c>
      <c r="G249" s="151" t="n">
        <v>4092</v>
      </c>
      <c r="H249" s="151" t="n">
        <v>24270</v>
      </c>
      <c r="I249" s="142" t="n">
        <v>145</v>
      </c>
      <c r="J249" s="143" t="n">
        <v>138</v>
      </c>
      <c r="K249" s="58" t="inlineStr">
        <is>
          <t>* Không có .</t>
        </is>
      </c>
      <c r="L249" s="58" t="inlineStr">
        <is>
          <t>* Không có .</t>
        </is>
      </c>
      <c r="M249" s="20" t="inlineStr">
        <is>
          <t>Ca ngày: Hùng</t>
        </is>
      </c>
    </row>
    <row r="250" ht="34.5" customHeight="1" s="22">
      <c r="A250" s="252" t="n"/>
      <c r="B250" s="246" t="n"/>
      <c r="C250" s="246" t="n"/>
      <c r="D250" s="246" t="n"/>
      <c r="E250" s="246" t="n"/>
      <c r="F250" s="246" t="n"/>
      <c r="G250" s="246" t="n"/>
      <c r="H250" s="246" t="n"/>
      <c r="I250" s="246" t="n"/>
      <c r="J250" s="246" t="n"/>
      <c r="K250" s="58" t="inlineStr">
        <is>
          <t>* Không có.</t>
        </is>
      </c>
      <c r="L250" s="58" t="inlineStr">
        <is>
          <t>* Không có.</t>
        </is>
      </c>
      <c r="M250" s="20" t="inlineStr">
        <is>
          <t>Ca đêm: Vũ</t>
        </is>
      </c>
    </row>
    <row r="251" ht="34.5" customHeight="1" s="22">
      <c r="A251" s="150" t="n">
        <v>45782</v>
      </c>
      <c r="B251" s="151">
        <f>SUM(B241)</f>
        <v/>
      </c>
      <c r="C251" s="151" t="n">
        <v>26298</v>
      </c>
      <c r="D251" s="151" t="n">
        <v>147</v>
      </c>
      <c r="E251" s="151" t="n">
        <v>25409</v>
      </c>
      <c r="F251" s="151" t="n">
        <v>24818</v>
      </c>
      <c r="G251" s="151" t="n">
        <v>4493</v>
      </c>
      <c r="H251" s="151" t="n">
        <v>24293</v>
      </c>
      <c r="I251" s="142" t="n">
        <v>147</v>
      </c>
      <c r="J251" s="143" t="n">
        <v>137</v>
      </c>
      <c r="K251" s="58" t="inlineStr">
        <is>
          <t>* Không có</t>
        </is>
      </c>
      <c r="L251" s="58" t="inlineStr">
        <is>
          <t>* Không có.</t>
        </is>
      </c>
      <c r="M251" s="20" t="inlineStr">
        <is>
          <t>Ca ngày: Bình</t>
        </is>
      </c>
    </row>
    <row r="252" ht="75.75" customHeight="1" s="22">
      <c r="A252" s="252" t="n"/>
      <c r="B252" s="246" t="n"/>
      <c r="C252" s="246" t="n"/>
      <c r="D252" s="246" t="n"/>
      <c r="E252" s="246" t="n"/>
      <c r="F252" s="246" t="n"/>
      <c r="G252" s="246" t="n"/>
      <c r="H252" s="246" t="n"/>
      <c r="I252" s="246" t="n"/>
      <c r="J252" s="246" t="n"/>
      <c r="K252" s="116" t="inlineStr">
        <is>
          <t>* tapi L3-31 bị trùng  báo ĐCK (Trân)- đã xử lí xong.hđbt</t>
        </is>
      </c>
      <c r="L252" s="116" t="inlineStr">
        <is>
          <t xml:space="preserve">* ĐCK thay lá tapi 111;21 oval đi số 6, thay 01 lá 119 ovan đi 5
Bảo trì ovan đi số 4, Thay bánh D90 trên (18,168),bánh D90 dưới (124)
</t>
        </is>
      </c>
      <c r="M252" s="121" t="inlineStr">
        <is>
          <t>Ca đêm: Hùng</t>
        </is>
      </c>
    </row>
    <row r="253">
      <c r="A253" s="150" t="n">
        <v>45783</v>
      </c>
      <c r="B253" s="151" t="n">
        <v>145</v>
      </c>
      <c r="C253" s="151" t="n">
        <v>24622</v>
      </c>
      <c r="D253" s="151" t="n">
        <v>146</v>
      </c>
      <c r="E253" s="151" t="n">
        <v>23069</v>
      </c>
      <c r="F253" s="151" t="n">
        <v>24029</v>
      </c>
      <c r="G253" s="151" t="n">
        <v>3986</v>
      </c>
      <c r="H253" s="151" t="n">
        <v>24317</v>
      </c>
      <c r="I253" s="142" t="n">
        <v>146</v>
      </c>
      <c r="J253" s="143" t="n">
        <v>140</v>
      </c>
      <c r="K253" s="58" t="inlineStr">
        <is>
          <t>* Khômg có.</t>
        </is>
      </c>
      <c r="L253" s="58" t="inlineStr">
        <is>
          <t>* ĐCN bảo trì tủ điện line 1 + line 6</t>
        </is>
      </c>
      <c r="M253" s="20" t="inlineStr">
        <is>
          <t>Ca ngày: Bình</t>
        </is>
      </c>
    </row>
    <row r="254" ht="112.5" customHeight="1" s="22">
      <c r="A254" s="252" t="n"/>
      <c r="B254" s="246" t="n"/>
      <c r="C254" s="246" t="n"/>
      <c r="D254" s="246" t="n"/>
      <c r="E254" s="246" t="n"/>
      <c r="F254" s="246" t="n"/>
      <c r="G254" s="246" t="n"/>
      <c r="H254" s="246" t="n"/>
      <c r="I254" s="246" t="n"/>
      <c r="J254" s="246" t="n"/>
      <c r="K254" s="58" t="inlineStr">
        <is>
          <t>* Khômg có.</t>
        </is>
      </c>
      <c r="L254" s="60" t="inlineStr">
        <is>
          <t xml:space="preserve">* ĐCK bảo trì:
- Ovan đến số 8: thay bánh xe dẫn hướng (25), bánh chịu tải ngoài (196,197)
- Ovan đến số 5 : thay bánh chịu tải trong (12), kiểm tra vệ sinh hộp truyền lực
</t>
        </is>
      </c>
      <c r="M254" s="20" t="inlineStr">
        <is>
          <t>Ca đêm: Vũ</t>
        </is>
      </c>
    </row>
    <row r="255">
      <c r="A255" s="150" t="n">
        <v>45784</v>
      </c>
      <c r="B255" s="151" t="n">
        <v>146</v>
      </c>
      <c r="C255" s="151" t="n">
        <v>23535</v>
      </c>
      <c r="D255" s="151" t="n">
        <v>143</v>
      </c>
      <c r="E255" s="151" t="n">
        <v>21438</v>
      </c>
      <c r="F255" s="151" t="n">
        <v>23365</v>
      </c>
      <c r="G255" s="151" t="n">
        <v>3829</v>
      </c>
      <c r="H255" s="151" t="n">
        <v>24339</v>
      </c>
      <c r="I255" s="142" t="n">
        <v>145</v>
      </c>
      <c r="J255" s="143" t="n">
        <v>135</v>
      </c>
      <c r="K255" s="116" t="inlineStr">
        <is>
          <t>* Không có</t>
        </is>
      </c>
      <c r="L255" s="116" t="inlineStr">
        <is>
          <t>* ĐCN bảo trì tủ điện line 2</t>
        </is>
      </c>
      <c r="M255" s="20" t="inlineStr">
        <is>
          <t>Ca ngày: Hùng</t>
        </is>
      </c>
    </row>
    <row r="256">
      <c r="A256" s="252" t="n"/>
      <c r="B256" s="246" t="n"/>
      <c r="C256" s="246" t="n"/>
      <c r="D256" s="246" t="n"/>
      <c r="E256" s="246" t="n"/>
      <c r="F256" s="246" t="n"/>
      <c r="G256" s="246" t="n"/>
      <c r="H256" s="246" t="n"/>
      <c r="I256" s="246" t="n"/>
      <c r="J256" s="246" t="n"/>
      <c r="K256" s="116" t="inlineStr">
        <is>
          <t>* Không có</t>
        </is>
      </c>
      <c r="L256" s="116" t="inlineStr">
        <is>
          <t>* ĐCK thay belt số 11, 10 của induction 4</t>
        </is>
      </c>
      <c r="M256" s="121" t="inlineStr">
        <is>
          <t>Ca đêm: Bình</t>
        </is>
      </c>
    </row>
    <row r="257" ht="37.5" customHeight="1" s="22">
      <c r="A257" s="150" t="n">
        <v>45785</v>
      </c>
      <c r="B257" s="151" t="n">
        <v>144</v>
      </c>
      <c r="C257" s="151" t="n">
        <v>22525</v>
      </c>
      <c r="D257" s="151" t="n">
        <v>147</v>
      </c>
      <c r="E257" s="151" t="n">
        <v>21673</v>
      </c>
      <c r="F257" s="151" t="n">
        <v>22754</v>
      </c>
      <c r="G257" s="151" t="n">
        <v>3245</v>
      </c>
      <c r="H257" s="151" t="n"/>
      <c r="I257" s="142" t="n">
        <v>147</v>
      </c>
      <c r="J257" s="143" t="n">
        <v>138</v>
      </c>
      <c r="K257" s="58" t="inlineStr">
        <is>
          <t>* 19h48 Sorter Not Synchronized</t>
        </is>
      </c>
      <c r="L257" s="60" t="inlineStr">
        <is>
          <t>* ĐT bảo trì tủ server phòng BHS + bảo trì camera khu vực băng chuyền + sửa cửa sập thông tầng đảo K</t>
        </is>
      </c>
      <c r="M257" s="20" t="inlineStr">
        <is>
          <t>Ca ngày: Hùng</t>
        </is>
      </c>
    </row>
    <row r="258" ht="30.75" customHeight="1" s="22">
      <c r="A258" s="252" t="n"/>
      <c r="B258" s="246" t="n"/>
      <c r="C258" s="246" t="n"/>
      <c r="D258" s="246" t="n"/>
      <c r="E258" s="246" t="n"/>
      <c r="F258" s="246" t="n"/>
      <c r="G258" s="246" t="n"/>
      <c r="H258" s="246" t="n"/>
      <c r="I258" s="246" t="n"/>
      <c r="J258" s="246" t="n"/>
      <c r="K258" s="116" t="inlineStr">
        <is>
          <t>* Không có</t>
        </is>
      </c>
      <c r="L258" s="58" t="inlineStr">
        <is>
          <t>* ĐCK thay bánh xe chịu tải trên ovan đi số 1(60 cái)</t>
        </is>
      </c>
      <c r="M258" s="121" t="inlineStr">
        <is>
          <t>Ca đêm: Bình</t>
        </is>
      </c>
    </row>
    <row r="259" ht="33" customHeight="1" s="22">
      <c r="A259" s="150" t="n">
        <v>45786</v>
      </c>
      <c r="B259" s="151" t="n">
        <v>144</v>
      </c>
      <c r="C259" s="151" t="n">
        <v>22487</v>
      </c>
      <c r="D259" s="151" t="n">
        <v>142</v>
      </c>
      <c r="E259" s="151" t="n">
        <v>21903</v>
      </c>
      <c r="F259" s="151" t="n">
        <v>23550</v>
      </c>
      <c r="G259" s="151" t="n">
        <v>3924</v>
      </c>
      <c r="H259" s="151" t="n">
        <v>24387</v>
      </c>
      <c r="I259" s="142" t="n">
        <v>145</v>
      </c>
      <c r="J259" s="143" t="n">
        <v>140</v>
      </c>
      <c r="K259" s="116" t="inlineStr">
        <is>
          <t>* Không có</t>
        </is>
      </c>
      <c r="L259" s="116" t="inlineStr">
        <is>
          <t>* ĐCN bảo trì tủ điện check in L3-L4</t>
        </is>
      </c>
      <c r="M259" s="20" t="inlineStr">
        <is>
          <t>Ca ngày: Đồng</t>
        </is>
      </c>
    </row>
    <row r="260" ht="106.5" customHeight="1" s="22">
      <c r="A260" s="252" t="n"/>
      <c r="B260" s="246" t="n"/>
      <c r="C260" s="246" t="n"/>
      <c r="D260" s="246" t="n"/>
      <c r="E260" s="246" t="n"/>
      <c r="F260" s="246" t="n"/>
      <c r="G260" s="246" t="n"/>
      <c r="H260" s="246" t="n"/>
      <c r="I260" s="246" t="n"/>
      <c r="J260" s="246" t="n"/>
      <c r="K260" s="116" t="inlineStr">
        <is>
          <t>* Không có</t>
        </is>
      </c>
      <c r="L260" s="116" t="inlineStr">
        <is>
          <t>* ĐCK xử lí khung lá 153 oval 3,thay bánh D90 oval 1 và : 
Chịu tải trên: 171,172,173,175,162,161,27.
Chịu tải dưới: 48,45,227. Thay ống lót 189,190 và xử lí lá 190 
oval 1.
* Xử lí lá 29 của oval 4.Và thay ống lót: 96,97 của oval 5.</t>
        </is>
      </c>
      <c r="M260" s="121" t="inlineStr">
        <is>
          <t>ca đêm : Hùng</t>
        </is>
      </c>
    </row>
    <row r="261" ht="37.5" customHeight="1" s="22">
      <c r="A261" s="150" t="n">
        <v>45787</v>
      </c>
      <c r="B261" s="151" t="n">
        <v>143</v>
      </c>
      <c r="C261" s="151" t="n">
        <v>23266</v>
      </c>
      <c r="D261" s="151" t="n">
        <v>144</v>
      </c>
      <c r="E261" s="151" t="n">
        <v>21240</v>
      </c>
      <c r="F261" s="151" t="n">
        <v>23749</v>
      </c>
      <c r="G261" s="151" t="n">
        <v>3309</v>
      </c>
      <c r="H261" s="151" t="n">
        <v>24409</v>
      </c>
      <c r="I261" s="142" t="n">
        <v>145</v>
      </c>
      <c r="J261" s="143" t="n">
        <v>140</v>
      </c>
      <c r="K261" s="58" t="inlineStr">
        <is>
          <t>* Cân F4 lệch ký nhiều lần, ca sau theo dõi tiếp.</t>
        </is>
      </c>
      <c r="L261" s="58" t="inlineStr">
        <is>
          <t>* Không có</t>
        </is>
      </c>
      <c r="M261" s="20" t="inlineStr">
        <is>
          <t>ca ngày : Tú</t>
        </is>
      </c>
    </row>
    <row r="262" ht="64.5" customHeight="1" s="22">
      <c r="A262" s="252" t="n"/>
      <c r="B262" s="246" t="n"/>
      <c r="C262" s="246" t="n"/>
      <c r="D262" s="246" t="n"/>
      <c r="E262" s="246" t="n"/>
      <c r="F262" s="246" t="n"/>
      <c r="G262" s="246" t="n"/>
      <c r="H262" s="246" t="n"/>
      <c r="I262" s="246" t="n"/>
      <c r="J262" s="246" t="n"/>
      <c r="K262" s="60" t="inlineStr">
        <is>
          <t>* 23:01, 23h26: "Sorter Not Synchronized" mất kết nối PLC SAC =&gt; Reset hệ thống hoạt động bình thường.
* L4-23 kêu to =&gt; ca sau báo CK giúp.</t>
        </is>
      </c>
      <c r="L262" s="58" t="inlineStr">
        <is>
          <t>* Không có</t>
        </is>
      </c>
      <c r="M262" s="20" t="inlineStr">
        <is>
          <t>Ca đêm: Vũ</t>
        </is>
      </c>
    </row>
    <row r="263">
      <c r="A263" s="150" t="n">
        <v>45788</v>
      </c>
      <c r="B263" s="151" t="n">
        <v>140</v>
      </c>
      <c r="C263" s="151" t="n">
        <v>22019</v>
      </c>
      <c r="D263" s="151" t="n">
        <v>140</v>
      </c>
      <c r="E263" s="151" t="n">
        <v>21290</v>
      </c>
      <c r="F263" s="151" t="n">
        <v>23196</v>
      </c>
      <c r="G263" s="151" t="n">
        <v>4293</v>
      </c>
      <c r="H263" s="151" t="n">
        <v>24432</v>
      </c>
      <c r="I263" s="142" t="n">
        <v>147</v>
      </c>
      <c r="J263" s="143" t="n">
        <v>136</v>
      </c>
      <c r="K263" s="116" t="inlineStr">
        <is>
          <t>* H7 lệch ký nhiều lần tiếp tục theo dõi.</t>
        </is>
      </c>
      <c r="L263" s="116" t="inlineStr">
        <is>
          <t>* ĐCK đã xử lý tiếng kêu b/c L4-23</t>
        </is>
      </c>
      <c r="M263" s="20" t="inlineStr">
        <is>
          <t>Ca ngày: Bình</t>
        </is>
      </c>
    </row>
    <row r="264">
      <c r="A264" s="252" t="n"/>
      <c r="B264" s="246" t="n"/>
      <c r="C264" s="246" t="n"/>
      <c r="D264" s="246" t="n"/>
      <c r="E264" s="246" t="n"/>
      <c r="F264" s="246" t="n"/>
      <c r="G264" s="246" t="n"/>
      <c r="H264" s="246" t="n"/>
      <c r="I264" s="246" t="n"/>
      <c r="J264" s="246" t="n"/>
      <c r="K264" s="116" t="inlineStr">
        <is>
          <t>* H7 lệch ký nhiều lần tiếp tục theo dõi.</t>
        </is>
      </c>
      <c r="L264" s="116" t="inlineStr">
        <is>
          <t>* Không có</t>
        </is>
      </c>
      <c r="M264" s="121" t="inlineStr">
        <is>
          <t>ca đêm : Hùng</t>
        </is>
      </c>
    </row>
    <row r="265" ht="101.25" customHeight="1" s="22">
      <c r="A265" s="150" t="n">
        <v>45789</v>
      </c>
      <c r="B265" s="151" t="n">
        <v>144</v>
      </c>
      <c r="C265" s="151" t="n">
        <v>23105</v>
      </c>
      <c r="D265" s="151" t="n">
        <v>146</v>
      </c>
      <c r="E265" s="151" t="n">
        <v>22644</v>
      </c>
      <c r="F265" s="151" t="n">
        <v>21826</v>
      </c>
      <c r="G265" s="151" t="n">
        <v>3556</v>
      </c>
      <c r="H265" s="151" t="n">
        <v>24454</v>
      </c>
      <c r="I265" s="142" t="n">
        <v>146</v>
      </c>
      <c r="J265" s="143" t="n">
        <v>135</v>
      </c>
      <c r="K265" s="58" t="inlineStr">
        <is>
          <t>* Cân F4 vẫn thường lệch ký.</t>
        </is>
      </c>
      <c r="L265" s="60" t="inlineStr">
        <is>
          <t xml:space="preserve">* ĐCN bảo trì định kì 1 năm motor và tuyến cáp cấp nguồn motor + thay soft start băng chuyền đến số A6. 
* ĐCK thay phốt mô tơ L3-23.
* CNTT (Phương) thay ổ cứng 2T Back-up dữ liệu tủ Server NAS-BOX01.
</t>
        </is>
      </c>
      <c r="M265" s="20" t="inlineStr">
        <is>
          <t>Ca ngày: Vũ</t>
        </is>
      </c>
    </row>
    <row r="266" ht="36.75" customHeight="1" s="22">
      <c r="A266" s="252" t="n"/>
      <c r="B266" s="246" t="n"/>
      <c r="C266" s="246" t="n"/>
      <c r="D266" s="246" t="n"/>
      <c r="E266" s="246" t="n"/>
      <c r="F266" s="246" t="n"/>
      <c r="G266" s="246" t="n"/>
      <c r="H266" s="246" t="n"/>
      <c r="I266" s="246" t="n"/>
      <c r="J266" s="246" t="n"/>
      <c r="K266" s="60" t="inlineStr">
        <is>
          <t xml:space="preserve">* L2-10 CK kiểm tra còn hđbt, theo dõi thêm
* Cân F4 lệch ký nhiều lần =&gt; ca sau báo CK kiểm tra giúp </t>
        </is>
      </c>
      <c r="L266" s="58" t="inlineStr">
        <is>
          <t>* Không có</t>
        </is>
      </c>
      <c r="M266" s="121" t="inlineStr">
        <is>
          <t>Ca đêm: Bình</t>
        </is>
      </c>
    </row>
    <row r="267" ht="60.75" customHeight="1" s="22">
      <c r="A267" s="150" t="n">
        <v>45790</v>
      </c>
      <c r="B267" s="151" t="n">
        <v>136</v>
      </c>
      <c r="C267" s="151" t="n">
        <v>20448</v>
      </c>
      <c r="D267" s="151" t="n">
        <v>137</v>
      </c>
      <c r="E267" s="151" t="n">
        <v>19851</v>
      </c>
      <c r="F267" s="151" t="n">
        <v>21563</v>
      </c>
      <c r="G267" s="151" t="n">
        <v>3707</v>
      </c>
      <c r="H267" s="151" t="n">
        <v>24477</v>
      </c>
      <c r="I267" s="142" t="n">
        <v>145</v>
      </c>
      <c r="J267" s="143" t="n">
        <v>136</v>
      </c>
      <c r="K267" s="116" t="inlineStr">
        <is>
          <t xml:space="preserve">* ĐCK đã chỉnh chân đỡ của băng chuyền L2-10
* ĐCK vệ sinh chỉnh cân F4, nhờ ca sau tiếp tục theo dõi thêm
* ĐCK đã ktra cân H7,tiếp tục theo dõi thêm 
</t>
        </is>
      </c>
      <c r="L267" s="61" t="inlineStr">
        <is>
          <t xml:space="preserve">* Không có </t>
        </is>
      </c>
      <c r="M267" s="20" t="inlineStr">
        <is>
          <t>ca ngày: Hùng</t>
        </is>
      </c>
    </row>
    <row r="268" ht="74.25" customHeight="1" s="22">
      <c r="A268" s="252" t="n"/>
      <c r="B268" s="246" t="n"/>
      <c r="C268" s="246" t="n"/>
      <c r="D268" s="246" t="n"/>
      <c r="E268" s="246" t="n"/>
      <c r="F268" s="246" t="n"/>
      <c r="G268" s="246" t="n"/>
      <c r="H268" s="246" t="n"/>
      <c r="I268" s="246" t="n"/>
      <c r="J268" s="246" t="n"/>
      <c r="K268" s="58" t="inlineStr">
        <is>
          <t>* Không có</t>
        </is>
      </c>
      <c r="L268" s="116" t="inlineStr">
        <is>
          <t xml:space="preserve">* Đội CK thay bánh xe Ovan đi số 2 : bánh chịu tải dưới : 17,169 ; bánh dẫn hướng : 187,189,224 , Ovan đi số 3 : chịu tải dưới : 88,160 ; chịu tải trên : 134 
</t>
        </is>
      </c>
      <c r="M268" s="121" t="inlineStr">
        <is>
          <t>Ca đêm: Vũ</t>
        </is>
      </c>
    </row>
    <row r="269" ht="60" customHeight="1" s="22">
      <c r="A269" s="150" t="n">
        <v>45791</v>
      </c>
      <c r="B269" s="151" t="n">
        <v>145</v>
      </c>
      <c r="C269" s="151" t="n">
        <v>22225</v>
      </c>
      <c r="D269" s="151" t="n">
        <v>141</v>
      </c>
      <c r="E269" s="151" t="n">
        <v>20267</v>
      </c>
      <c r="F269" s="151" t="n">
        <v>24596</v>
      </c>
      <c r="G269" s="151" t="n">
        <v>4496</v>
      </c>
      <c r="H269" s="151" t="n"/>
      <c r="I269" s="142" t="n">
        <v>147</v>
      </c>
      <c r="J269" s="143" t="n">
        <v>137</v>
      </c>
      <c r="K269" s="58" t="inlineStr">
        <is>
          <t>* Không có</t>
        </is>
      </c>
      <c r="L269" s="60" t="inlineStr">
        <is>
          <t>* ĐCK thay 4 loadcell cân H7 
* ĐCK thay 4 loadcell, juntion box và màn hình cân F4</t>
        </is>
      </c>
      <c r="M269" s="121" t="inlineStr">
        <is>
          <t>Ca ngày: Bình</t>
        </is>
      </c>
    </row>
    <row r="270" ht="43.5" customHeight="1" s="22">
      <c r="A270" s="252" t="n"/>
      <c r="B270" s="246" t="n"/>
      <c r="C270" s="246" t="n"/>
      <c r="D270" s="246" t="n"/>
      <c r="E270" s="246" t="n"/>
      <c r="F270" s="246" t="n"/>
      <c r="G270" s="246" t="n"/>
      <c r="H270" s="246" t="n"/>
      <c r="I270" s="246" t="n"/>
      <c r="J270" s="246" t="n"/>
      <c r="K270" s="58" t="inlineStr">
        <is>
          <t xml:space="preserve">* H7 tiếp tục lệch ký, nhờ ca sau tiếp tục theo dõi thêm </t>
        </is>
      </c>
      <c r="L270" s="60" t="inlineStr">
        <is>
          <t>* ĐCK thay rulo chủ động L1-23 (trục rulo D35 nhỏ hơn lỗ motor D40)</t>
        </is>
      </c>
      <c r="M270" s="20" t="inlineStr">
        <is>
          <t>ca đêm : Hùng</t>
        </is>
      </c>
    </row>
    <row r="271">
      <c r="A271" s="150" t="n">
        <v>45792</v>
      </c>
      <c r="B271" s="151" t="n">
        <v>143</v>
      </c>
      <c r="C271" s="151" t="n">
        <v>22757</v>
      </c>
      <c r="D271" s="151" t="n">
        <v>143</v>
      </c>
      <c r="E271" s="151" t="n">
        <v>21593</v>
      </c>
      <c r="F271" s="151" t="n">
        <v>24153</v>
      </c>
      <c r="G271" s="151" t="n">
        <v>3833</v>
      </c>
      <c r="H271" s="151" t="n">
        <v>24522</v>
      </c>
      <c r="I271" s="142" t="n">
        <v>145</v>
      </c>
      <c r="J271" s="143" t="n">
        <v>141</v>
      </c>
      <c r="K271" s="116" t="inlineStr">
        <is>
          <t xml:space="preserve">* Không có </t>
        </is>
      </c>
      <c r="L271" s="116" t="inlineStr">
        <is>
          <t>* ĐCK thay rulo chủ động L1-23</t>
        </is>
      </c>
      <c r="M271" s="20" t="inlineStr">
        <is>
          <t>Ca ngày: Vũ</t>
        </is>
      </c>
    </row>
    <row r="272">
      <c r="A272" s="252" t="n"/>
      <c r="B272" s="246" t="n"/>
      <c r="C272" s="246" t="n"/>
      <c r="D272" s="246" t="n"/>
      <c r="E272" s="246" t="n"/>
      <c r="F272" s="246" t="n"/>
      <c r="G272" s="246" t="n"/>
      <c r="H272" s="246" t="n"/>
      <c r="I272" s="246" t="n"/>
      <c r="J272" s="246" t="n"/>
      <c r="K272" s="116" t="inlineStr">
        <is>
          <t xml:space="preserve">* Không có </t>
        </is>
      </c>
      <c r="L272" s="116" t="inlineStr">
        <is>
          <t xml:space="preserve">* Không có </t>
        </is>
      </c>
      <c r="M272" s="121" t="inlineStr">
        <is>
          <t>Ca đêm: Bình</t>
        </is>
      </c>
    </row>
    <row r="273" ht="56.25" customHeight="1" s="22">
      <c r="A273" s="150" t="n">
        <v>45793</v>
      </c>
      <c r="B273" s="151" t="n">
        <v>144</v>
      </c>
      <c r="C273" s="151" t="n">
        <v>22743</v>
      </c>
      <c r="D273" s="151" t="n">
        <v>141</v>
      </c>
      <c r="E273" s="151" t="n">
        <v>21160</v>
      </c>
      <c r="F273" s="151" t="n">
        <v>23675</v>
      </c>
      <c r="G273" s="151" t="n">
        <v>4025</v>
      </c>
      <c r="H273" s="151" t="n">
        <v>24546</v>
      </c>
      <c r="I273" s="142" t="n">
        <v>144</v>
      </c>
      <c r="J273" s="143" t="n">
        <v>138</v>
      </c>
      <c r="K273" s="58" t="inlineStr">
        <is>
          <t>* Không có</t>
        </is>
      </c>
      <c r="L273" s="58" t="inlineStr">
        <is>
          <t>* ĐCK thay lá tapi 105 của oval đi số 5.</t>
        </is>
      </c>
      <c r="M273" s="20" t="inlineStr">
        <is>
          <t>Ca ngày: Hùng</t>
        </is>
      </c>
    </row>
    <row r="274" ht="40.5" customHeight="1" s="22">
      <c r="A274" s="252" t="n"/>
      <c r="B274" s="246" t="n"/>
      <c r="C274" s="246" t="n"/>
      <c r="D274" s="246" t="n"/>
      <c r="E274" s="246" t="n"/>
      <c r="F274" s="246" t="n"/>
      <c r="G274" s="246" t="n"/>
      <c r="H274" s="246" t="n"/>
      <c r="I274" s="246" t="n"/>
      <c r="J274" s="246" t="n"/>
      <c r="K274" s="58" t="inlineStr">
        <is>
          <t>* Dây belt số 12 của induction 4 bị bong gân dẫn hướng =&gt; đã cắt bỏ.</t>
        </is>
      </c>
      <c r="L274" s="58" t="inlineStr">
        <is>
          <t xml:space="preserve">* ĐCK bảo trì  vệ sinh và calib các quầy cân đảo C </t>
        </is>
      </c>
      <c r="M274" s="20" t="inlineStr">
        <is>
          <t>Ca đêm: Vũ</t>
        </is>
      </c>
      <c r="N274" s="43">
        <f>SUM(B269:B282)</f>
        <v/>
      </c>
    </row>
    <row r="275" ht="69" customHeight="1" s="22">
      <c r="A275" s="150" t="n">
        <v>45794</v>
      </c>
      <c r="B275" s="151" t="n">
        <v>144</v>
      </c>
      <c r="C275" s="151" t="n">
        <v>23954</v>
      </c>
      <c r="D275" s="151" t="n">
        <v>141</v>
      </c>
      <c r="E275" s="151" t="n">
        <v>21095</v>
      </c>
      <c r="F275" s="151" t="n">
        <v>23959</v>
      </c>
      <c r="G275" s="151" t="n">
        <v>3872</v>
      </c>
      <c r="H275" s="151" t="n">
        <v>24569</v>
      </c>
      <c r="I275" s="142" t="n">
        <v>148</v>
      </c>
      <c r="J275" s="143" t="n">
        <v>136</v>
      </c>
      <c r="K275" s="58" t="inlineStr">
        <is>
          <t>* Không có</t>
        </is>
      </c>
      <c r="L275" s="116" t="inlineStr">
        <is>
          <t>*  ĐCN phóng cách điện cuộn dây các đoạn băng chuyền L1-L2, phát hiện motor L2B-104 bị cháy tiếp điểm đã xử lý hđbt.</t>
        </is>
      </c>
      <c r="M275" s="121" t="inlineStr">
        <is>
          <t>Ca ngày: Bình</t>
        </is>
      </c>
    </row>
    <row r="276" ht="39.75" customHeight="1" s="22">
      <c r="A276" s="252" t="n"/>
      <c r="B276" s="246" t="n"/>
      <c r="C276" s="246" t="n"/>
      <c r="D276" s="246" t="n"/>
      <c r="E276" s="246" t="n"/>
      <c r="F276" s="246" t="n"/>
      <c r="G276" s="246" t="n"/>
      <c r="H276" s="246" t="n"/>
      <c r="I276" s="246" t="n"/>
      <c r="J276" s="246" t="n"/>
      <c r="K276" s="58" t="inlineStr">
        <is>
          <t>* Không có</t>
        </is>
      </c>
      <c r="L276" s="58" t="inlineStr">
        <is>
          <t>* ĐCK bảo trì  vệ sinh và calib các quầy cân đảo D</t>
        </is>
      </c>
      <c r="M276" s="20" t="inlineStr">
        <is>
          <t>ca đêm : Hùng</t>
        </is>
      </c>
    </row>
    <row r="277" ht="37.5" customHeight="1" s="22">
      <c r="A277" s="150" t="n">
        <v>45795</v>
      </c>
      <c r="B277" s="151" t="n">
        <v>139</v>
      </c>
      <c r="C277" s="151" t="n">
        <v>22374</v>
      </c>
      <c r="D277" s="151" t="n">
        <v>139</v>
      </c>
      <c r="E277" s="151" t="n">
        <v>21059</v>
      </c>
      <c r="F277" s="151" t="n">
        <v>23100</v>
      </c>
      <c r="G277" s="151" t="n">
        <v>3711</v>
      </c>
      <c r="H277" s="151" t="n">
        <v>24592</v>
      </c>
      <c r="I277" s="142" t="n">
        <v>150</v>
      </c>
      <c r="J277" s="143" t="n">
        <v>140</v>
      </c>
      <c r="K277" s="70" t="inlineStr">
        <is>
          <t>*Băng chuyền đến A5 máy soi không khởi động được, tạm ngưng khai thác.</t>
        </is>
      </c>
      <c r="L277" s="58" t="inlineStr">
        <is>
          <t>* Không có.</t>
        </is>
      </c>
      <c r="M277" s="121" t="inlineStr">
        <is>
          <t>Ca ngày: Bình</t>
        </is>
      </c>
    </row>
    <row r="278">
      <c r="A278" s="252" t="n"/>
      <c r="B278" s="246" t="n"/>
      <c r="C278" s="246" t="n"/>
      <c r="D278" s="246" t="n"/>
      <c r="E278" s="246" t="n"/>
      <c r="F278" s="246" t="n"/>
      <c r="G278" s="246" t="n"/>
      <c r="H278" s="246" t="n"/>
      <c r="I278" s="246" t="n"/>
      <c r="J278" s="246" t="n"/>
      <c r="K278" s="58" t="inlineStr">
        <is>
          <t>* Không có.</t>
        </is>
      </c>
      <c r="L278" s="58" t="inlineStr">
        <is>
          <t>* Không có.</t>
        </is>
      </c>
      <c r="M278" s="20" t="inlineStr">
        <is>
          <t>Ca đêm: Vũ</t>
        </is>
      </c>
    </row>
    <row r="279" ht="56.25" customHeight="1" s="22">
      <c r="A279" s="153" t="n">
        <v>45796</v>
      </c>
      <c r="B279" s="151" t="n">
        <v>140</v>
      </c>
      <c r="C279" s="151" t="n">
        <v>21242</v>
      </c>
      <c r="D279" s="151" t="n">
        <v>141</v>
      </c>
      <c r="E279" s="151" t="n">
        <v>22286</v>
      </c>
      <c r="F279" s="151" t="n">
        <v>21207</v>
      </c>
      <c r="G279" s="151" t="n">
        <v>3837</v>
      </c>
      <c r="H279" s="151" t="n">
        <v>24615</v>
      </c>
      <c r="I279" s="142" t="n">
        <v>144</v>
      </c>
      <c r="J279" s="143" t="n">
        <v>139</v>
      </c>
      <c r="K279" s="60" t="inlineStr">
        <is>
          <t>* khay 117 bị vênh đã xử lí xong.hđbt. 
*Băng chuyền đến A5 máy soi không khởi động được, tạm ngưng khai thác.</t>
        </is>
      </c>
      <c r="L279" s="58" t="inlineStr">
        <is>
          <t>* ĐCN( a Phúc) đo cách điện tủ NR2, tủ departure L1.</t>
        </is>
      </c>
      <c r="M279" s="20" t="inlineStr">
        <is>
          <t>Ca ngày: Tú.</t>
        </is>
      </c>
    </row>
    <row r="280">
      <c r="A280" s="246" t="n"/>
      <c r="B280" s="246" t="n"/>
      <c r="C280" s="246" t="n"/>
      <c r="D280" s="246" t="n"/>
      <c r="E280" s="246" t="n"/>
      <c r="F280" s="246" t="n"/>
      <c r="G280" s="246" t="n"/>
      <c r="H280" s="246" t="n"/>
      <c r="I280" s="246" t="n"/>
      <c r="J280" s="246" t="n"/>
      <c r="K280" s="58" t="inlineStr">
        <is>
          <t>* Không có.</t>
        </is>
      </c>
      <c r="L280" s="58" t="inlineStr">
        <is>
          <t>* Không có.</t>
        </is>
      </c>
      <c r="M280" s="20" t="n"/>
    </row>
    <row r="281" ht="64.5" customHeight="1" s="22">
      <c r="A281" s="231" t="n">
        <v>45797</v>
      </c>
      <c r="B281" s="151" t="n">
        <v>137</v>
      </c>
      <c r="C281" s="151" t="n">
        <v>20187</v>
      </c>
      <c r="D281" s="151" t="n">
        <v>141</v>
      </c>
      <c r="E281" s="151" t="n">
        <v>21009</v>
      </c>
      <c r="F281" s="151" t="n">
        <v>20870</v>
      </c>
      <c r="G281" s="151" t="n">
        <v>3317</v>
      </c>
      <c r="H281" s="151" t="n">
        <v>24638</v>
      </c>
      <c r="I281" s="142" t="n">
        <v>147</v>
      </c>
      <c r="J281" s="143" t="n">
        <v>136</v>
      </c>
      <c r="K281" s="60" t="inlineStr">
        <is>
          <t>* Disable khay 117 (lỏng khớp sừng trâu)
*Băng chuyền đến A5 máy soi không khởi động được, tạm ngưng khai thác.</t>
        </is>
      </c>
      <c r="L281" s="40" t="inlineStr">
        <is>
          <t>*ĐCK kiểm tra b/c L1, L2 + b/c đến 1-8 + bảo trì ovan đi 1-6, ĐCN đo cách điện mô tơ đảo GH</t>
        </is>
      </c>
      <c r="M281" s="20" t="inlineStr">
        <is>
          <t>Ca ngày: Đồng</t>
        </is>
      </c>
    </row>
    <row r="282" ht="37.5" customHeight="1" s="22">
      <c r="A282" s="246" t="n"/>
      <c r="B282" s="246" t="n"/>
      <c r="C282" s="246" t="n"/>
      <c r="D282" s="246" t="n"/>
      <c r="E282" s="246" t="n"/>
      <c r="F282" s="246" t="n"/>
      <c r="G282" s="246" t="n"/>
      <c r="H282" s="246" t="n"/>
      <c r="I282" s="246" t="n"/>
      <c r="J282" s="246" t="n"/>
      <c r="K282" s="58" t="inlineStr">
        <is>
          <t>* Không có</t>
        </is>
      </c>
      <c r="L282" s="58" t="inlineStr">
        <is>
          <t>* Không có</t>
        </is>
      </c>
      <c r="M282" s="20" t="inlineStr">
        <is>
          <t>ca đêm : Hùng</t>
        </is>
      </c>
    </row>
    <row r="283" ht="37.5" customHeight="1" s="22">
      <c r="A283" s="231" t="n">
        <v>45798</v>
      </c>
      <c r="B283" s="151" t="n">
        <v>149</v>
      </c>
      <c r="C283" s="151" t="n">
        <v>21684</v>
      </c>
      <c r="D283" s="151" t="n">
        <v>144</v>
      </c>
      <c r="E283" s="151" t="n">
        <v>22278</v>
      </c>
      <c r="F283" s="151" t="n">
        <v>20870</v>
      </c>
      <c r="G283" s="151" t="n">
        <v>3317</v>
      </c>
      <c r="H283" s="151" t="n">
        <v>24661</v>
      </c>
      <c r="I283" s="142" t="n">
        <v>143</v>
      </c>
      <c r="J283" s="143" t="n">
        <v>140</v>
      </c>
      <c r="K283" s="70" t="inlineStr">
        <is>
          <t>* Băng chuyền đến A5 máy soi không khởi động được, tạm ngưng khai thác. (từ ngày 18/5/2025).</t>
        </is>
      </c>
      <c r="L283" s="40" t="inlineStr">
        <is>
          <t>* ĐCN (Phúc) đo cách điện motor L3, L4, L5.
* CK (Công) kiểm tra bảo trì các Induction.</t>
        </is>
      </c>
      <c r="M283" s="20" t="inlineStr">
        <is>
          <t>Ca ngày: Vũ</t>
        </is>
      </c>
    </row>
    <row r="284" ht="69.75" customHeight="1" s="22">
      <c r="A284" s="246" t="n"/>
      <c r="B284" s="246" t="n"/>
      <c r="C284" s="246" t="n"/>
      <c r="D284" s="246" t="n"/>
      <c r="E284" s="246" t="n"/>
      <c r="F284" s="246" t="n"/>
      <c r="G284" s="246" t="n"/>
      <c r="H284" s="246" t="n"/>
      <c r="I284" s="246" t="n"/>
      <c r="J284" s="246" t="n"/>
      <c r="K284" s="58" t="inlineStr">
        <is>
          <t>* Không có</t>
        </is>
      </c>
      <c r="L284" s="60" t="inlineStr">
        <is>
          <t xml:space="preserve">* ĐCK kiểm tra bảo trì ovan đi: ovan 4 ( CTT 4, CTD 156, gia cố tapi 164), ovan 3 ( CTD 24, DH 196, 229, gia cố tapi 212), ovan 1 ( gia cố tapi 9), ovan 6 ( DH 2, 14, 15, 28)
</t>
        </is>
      </c>
      <c r="M284" s="20" t="inlineStr">
        <is>
          <t>ca đêm : Quân</t>
        </is>
      </c>
    </row>
    <row r="285" ht="54.75" customHeight="1" s="22">
      <c r="A285" s="231" t="n">
        <v>45799</v>
      </c>
      <c r="B285" s="151" t="n">
        <v>137</v>
      </c>
      <c r="C285" s="151" t="n">
        <v>20422</v>
      </c>
      <c r="D285" s="151" t="n">
        <v>139</v>
      </c>
      <c r="E285" s="151" t="n">
        <v>20169</v>
      </c>
      <c r="F285" s="151" t="n">
        <v>20130</v>
      </c>
      <c r="G285" s="151" t="n">
        <v>3547</v>
      </c>
      <c r="H285" s="151" t="n">
        <v>24685</v>
      </c>
      <c r="I285" s="142" t="n">
        <v>145</v>
      </c>
      <c r="J285" s="143" t="n">
        <v>137</v>
      </c>
      <c r="K285" s="60" t="inlineStr">
        <is>
          <t>* Băng chuyền đến A5 máy soi không khởi động được, tạm ngưng khai thác. (từ ngày 18/5/2025).</t>
        </is>
      </c>
      <c r="L285" s="60" t="inlineStr">
        <is>
          <t>* ĐCK bảo trì ovan đến số 5, ĐCN bảo trì đảo K-L + đo cách
điện b/c đến A1</t>
        </is>
      </c>
      <c r="M285" s="20" t="inlineStr">
        <is>
          <t>ca ngày: Hùng</t>
        </is>
      </c>
    </row>
    <row r="286" ht="58.5" customHeight="1" s="22">
      <c r="A286" s="246" t="n"/>
      <c r="B286" s="246" t="n"/>
      <c r="C286" s="246" t="n"/>
      <c r="D286" s="246" t="n"/>
      <c r="E286" s="246" t="n"/>
      <c r="F286" s="246" t="n"/>
      <c r="G286" s="246" t="n"/>
      <c r="H286" s="246" t="n"/>
      <c r="I286" s="246" t="n"/>
      <c r="J286" s="246" t="n"/>
      <c r="K286" s="60" t="inlineStr">
        <is>
          <t>* Chuyển điện  lúc 3h02. Reset hệ thống hoạt đông bình thường.
* Băng chuyền đến A5 máy soi không khởi động được, tạm ngưng khai thác. (từ ngày 18/5/2025).</t>
        </is>
      </c>
      <c r="L286" s="58" t="inlineStr">
        <is>
          <t xml:space="preserve">* ĐCK bảo trì vệ sinh caliib các quầy cân đảo A </t>
        </is>
      </c>
      <c r="M286" s="20" t="inlineStr">
        <is>
          <t>Ca đêm: Vũ</t>
        </is>
      </c>
    </row>
    <row r="287" ht="48" customHeight="1" s="22">
      <c r="A287" s="231" t="n">
        <v>45800</v>
      </c>
      <c r="B287" s="151" t="n">
        <v>145</v>
      </c>
      <c r="C287" s="151" t="n">
        <v>22152</v>
      </c>
      <c r="D287" s="151" t="n">
        <v>141</v>
      </c>
      <c r="E287" s="151" t="n">
        <v>21634</v>
      </c>
      <c r="F287" s="151" t="n">
        <v>23626</v>
      </c>
      <c r="G287" s="151" t="n">
        <v>4224</v>
      </c>
      <c r="H287" s="151" t="n">
        <v>24709</v>
      </c>
      <c r="I287" s="142" t="n">
        <v>144</v>
      </c>
      <c r="J287" s="143" t="n">
        <v>137</v>
      </c>
      <c r="K287" s="70" t="inlineStr">
        <is>
          <t>* Băng chuyền đến A5 máy soi không hoạt động được, tạm ngưng khai thác. (từ ngày 18/5/2025).</t>
        </is>
      </c>
      <c r="L287" s="40" t="inlineStr">
        <is>
          <t>* ĐCK khắc phục khe hở băng chuyền đến số 6</t>
        </is>
      </c>
      <c r="M287" s="121" t="inlineStr">
        <is>
          <t>Ca ngày: Bình</t>
        </is>
      </c>
    </row>
    <row r="288" ht="89.25" customHeight="1" s="22">
      <c r="A288" s="246" t="n"/>
      <c r="B288" s="246" t="n"/>
      <c r="C288" s="246" t="n"/>
      <c r="D288" s="246" t="n"/>
      <c r="E288" s="246" t="n"/>
      <c r="F288" s="246" t="n"/>
      <c r="G288" s="246" t="n"/>
      <c r="H288" s="246" t="n"/>
      <c r="I288" s="246" t="n"/>
      <c r="J288" s="246" t="n"/>
      <c r="K288" s="60" t="inlineStr">
        <is>
          <t xml:space="preserve">* Băng chuyền đến A5 máy soi không hoạt động được, tạm ngưng khai thác. (từ ngày 18/5/2025).
* Khay 109 nứt chân. Disable
* Chuyển điện  lúc 3h28. Reset hệ thống hoạt đông bình thường.
</t>
        </is>
      </c>
      <c r="L288" s="58" t="inlineStr">
        <is>
          <t xml:space="preserve">* ĐCK bảo trì bc cân đảo K </t>
        </is>
      </c>
      <c r="M288" s="20" t="inlineStr">
        <is>
          <t>Ca đêm: Tuyến</t>
        </is>
      </c>
    </row>
    <row r="289" ht="37.5" customHeight="1" s="22">
      <c r="A289" s="231" t="n">
        <v>45801</v>
      </c>
      <c r="B289" s="151" t="n">
        <v>140</v>
      </c>
      <c r="C289" s="151" t="n">
        <v>22844</v>
      </c>
      <c r="D289" s="151" t="n">
        <v>138</v>
      </c>
      <c r="E289" s="151" t="n">
        <v>20590</v>
      </c>
      <c r="F289" s="151" t="n">
        <v>23742</v>
      </c>
      <c r="G289" s="151" t="n">
        <v>4649</v>
      </c>
      <c r="H289" s="151" t="n">
        <v>24732</v>
      </c>
      <c r="I289" s="142" t="n">
        <v>149</v>
      </c>
      <c r="J289" s="143" t="n">
        <v>140</v>
      </c>
      <c r="K289" s="70" t="inlineStr">
        <is>
          <t>* Băng chuyền đến A5 máy soi không hoạt động được, tạm ngưng khai thác. (từ ngày 18/5/2025).</t>
        </is>
      </c>
      <c r="L289" s="40" t="inlineStr">
        <is>
          <t>* ĐCN đo cách điện motor L6, chỉnh sensor đoạn bc A2-7</t>
        </is>
      </c>
      <c r="M289" s="20" t="inlineStr">
        <is>
          <t>ca ngày: Hùng</t>
        </is>
      </c>
    </row>
    <row r="290" ht="37.5" customHeight="1" s="22">
      <c r="A290" s="246" t="n"/>
      <c r="B290" s="246" t="n"/>
      <c r="C290" s="246" t="n"/>
      <c r="D290" s="246" t="n"/>
      <c r="E290" s="246" t="n"/>
      <c r="F290" s="246" t="n"/>
      <c r="G290" s="246" t="n"/>
      <c r="H290" s="246" t="n"/>
      <c r="I290" s="246" t="n"/>
      <c r="J290" s="246" t="n"/>
      <c r="K290" s="70" t="inlineStr">
        <is>
          <t>* Băng chuyền đến A5 máy soi không hoạt 
động được, tạm ngưng khai thác. (từ ngày 18/5/2025).</t>
        </is>
      </c>
      <c r="L290" s="58" t="inlineStr">
        <is>
          <t>* ĐCK bảo trì các quầy cân đảo L.</t>
        </is>
      </c>
      <c r="M290" s="20" t="inlineStr">
        <is>
          <t>ca đêm: Hoàng</t>
        </is>
      </c>
    </row>
    <row r="291" ht="37.5" customHeight="1" s="22">
      <c r="A291" s="153" t="n">
        <v>45802</v>
      </c>
      <c r="B291" s="151" t="n">
        <v>143</v>
      </c>
      <c r="C291" s="151" t="n">
        <v>23528</v>
      </c>
      <c r="D291" s="151" t="n">
        <v>141</v>
      </c>
      <c r="E291" s="151" t="n">
        <v>22699</v>
      </c>
      <c r="F291" s="151" t="n">
        <v>24805</v>
      </c>
      <c r="G291" s="151" t="n">
        <v>4743</v>
      </c>
      <c r="H291" s="151" t="n">
        <v>24754</v>
      </c>
      <c r="I291" s="142" t="n">
        <v>146</v>
      </c>
      <c r="J291" s="143" t="n">
        <v>138</v>
      </c>
      <c r="K291" s="60" t="inlineStr">
        <is>
          <t xml:space="preserve">* Cân F7 bị nhảy số loạn mặt đh của NV, ĐCK đã chỉnh lại hđbt ca sau theo dõi thêm </t>
        </is>
      </c>
      <c r="L291" s="58" t="inlineStr">
        <is>
          <t>* Không có.</t>
        </is>
      </c>
      <c r="M291" s="20" t="inlineStr">
        <is>
          <t>ca ngày: Hùng</t>
        </is>
      </c>
    </row>
    <row r="292" ht="37.5" customHeight="1" s="22">
      <c r="A292" s="246" t="n"/>
      <c r="B292" s="246" t="n"/>
      <c r="C292" s="246" t="n"/>
      <c r="D292" s="246" t="n"/>
      <c r="E292" s="246" t="n"/>
      <c r="F292" s="246" t="n"/>
      <c r="G292" s="246" t="n"/>
      <c r="H292" s="246" t="n"/>
      <c r="I292" s="246" t="n"/>
      <c r="J292" s="246" t="n"/>
      <c r="K292" s="70" t="inlineStr">
        <is>
          <t>* Băng chuyền đến A5 máy soi không hoạt 
động được, tạm ngưng khai thác. (từ ngày 18/5/2025).</t>
        </is>
      </c>
      <c r="L292" s="58" t="inlineStr">
        <is>
          <t>* Không có.</t>
        </is>
      </c>
      <c r="M292" s="20" t="inlineStr">
        <is>
          <t>Ca đêm: Vũ</t>
        </is>
      </c>
    </row>
    <row r="293">
      <c r="A293" s="231" t="n">
        <v>45803</v>
      </c>
      <c r="B293" s="151" t="n">
        <v>140</v>
      </c>
      <c r="C293" s="151" t="n">
        <v>21378</v>
      </c>
      <c r="D293" s="151" t="n">
        <v>140</v>
      </c>
      <c r="E293" s="151" t="n">
        <v>21423</v>
      </c>
      <c r="F293" s="151" t="n">
        <v>22115</v>
      </c>
      <c r="G293" s="151" t="n">
        <v>4413</v>
      </c>
      <c r="H293" s="151" t="n">
        <v>24776</v>
      </c>
      <c r="I293" s="142" t="n">
        <v>147</v>
      </c>
      <c r="J293" s="143" t="n">
        <v>136</v>
      </c>
      <c r="K293" s="60" t="inlineStr">
        <is>
          <t>* Không có.</t>
        </is>
      </c>
      <c r="L293" s="40" t="inlineStr">
        <is>
          <t>* ĐCN đo cách điện motor L6</t>
        </is>
      </c>
      <c r="M293" s="20" t="inlineStr">
        <is>
          <t>Ca ngày: Bình</t>
        </is>
      </c>
    </row>
    <row r="294" ht="35.25" customHeight="1" s="22">
      <c r="A294" s="246" t="n"/>
      <c r="B294" s="246" t="n"/>
      <c r="C294" s="246" t="n"/>
      <c r="D294" s="246" t="n"/>
      <c r="E294" s="246" t="n"/>
      <c r="F294" s="246" t="n"/>
      <c r="G294" s="246" t="n"/>
      <c r="H294" s="246" t="n"/>
      <c r="I294" s="246" t="n"/>
      <c r="J294" s="246" t="n"/>
      <c r="K294" s="60" t="inlineStr">
        <is>
          <t xml:space="preserve">* 3h50 chuyển điện,reset lại hệ thống hđbt.
</t>
        </is>
      </c>
      <c r="L294" s="58" t="inlineStr">
        <is>
          <t>* Không có</t>
        </is>
      </c>
      <c r="M294" s="20" t="inlineStr">
        <is>
          <t>ca đêm : Hùng</t>
        </is>
      </c>
    </row>
    <row r="295">
      <c r="A295" s="231" t="n">
        <v>45804</v>
      </c>
      <c r="B295" s="151" t="n">
        <v>139</v>
      </c>
      <c r="C295" s="151" t="n">
        <v>20951</v>
      </c>
      <c r="D295" s="151" t="n">
        <v>141</v>
      </c>
      <c r="E295" s="151" t="n">
        <v>21147</v>
      </c>
      <c r="F295" s="151" t="n">
        <v>21923</v>
      </c>
      <c r="G295" s="151" t="n">
        <v>3585</v>
      </c>
      <c r="H295" s="151" t="n">
        <v>24801</v>
      </c>
      <c r="I295" s="142" t="n">
        <v>145</v>
      </c>
      <c r="J295" s="143" t="n">
        <v>137</v>
      </c>
      <c r="K295" s="71" t="inlineStr">
        <is>
          <t>* Không có.</t>
        </is>
      </c>
      <c r="L295" s="40" t="inlineStr">
        <is>
          <t>* ĐCK kiểm tra L1,2,6(chkin), ĐCN phóng cách điện L6</t>
        </is>
      </c>
      <c r="M295" s="121" t="inlineStr">
        <is>
          <t>Ca ngày: Tuyến</t>
        </is>
      </c>
    </row>
    <row r="296" ht="37.5" customHeight="1" s="22">
      <c r="A296" s="246" t="n"/>
      <c r="B296" s="246" t="n"/>
      <c r="C296" s="246" t="n"/>
      <c r="D296" s="246" t="n"/>
      <c r="E296" s="246" t="n"/>
      <c r="F296" s="246" t="n"/>
      <c r="G296" s="246" t="n"/>
      <c r="H296" s="246" t="n"/>
      <c r="I296" s="246" t="n"/>
      <c r="J296" s="246" t="n"/>
      <c r="K296" s="70" t="inlineStr">
        <is>
          <t>* Băng chuyền đến A5 máy soi không hoạt động được, tạm ngưng khai thác. (từ ngày 18/5/2025).</t>
        </is>
      </c>
      <c r="L296" s="58" t="inlineStr">
        <is>
          <t>* ĐCK thay 01 lá tapi ovan số 1 đi QT ( số 189)</t>
        </is>
      </c>
      <c r="M296" s="20" t="inlineStr">
        <is>
          <t>Ca đêm: Bình</t>
        </is>
      </c>
    </row>
    <row r="297" ht="37.5" customHeight="1" s="22">
      <c r="A297" s="231" t="n">
        <v>45805</v>
      </c>
      <c r="B297" s="151" t="n">
        <v>146</v>
      </c>
      <c r="C297" s="151" t="n">
        <v>22142</v>
      </c>
      <c r="D297" s="151" t="n">
        <v>140</v>
      </c>
      <c r="E297" s="151" t="n">
        <v>21939</v>
      </c>
      <c r="F297" s="151" t="n">
        <v>24653</v>
      </c>
      <c r="G297" s="151" t="n">
        <v>4552</v>
      </c>
      <c r="H297" s="151" t="n">
        <v>24823</v>
      </c>
      <c r="I297" s="142" t="n">
        <v>144</v>
      </c>
      <c r="J297" s="143" t="n">
        <v>138</v>
      </c>
      <c r="K297" s="71" t="inlineStr">
        <is>
          <t>* Không có.</t>
        </is>
      </c>
      <c r="L297" s="60" t="inlineStr">
        <is>
          <t>* ĐCK cắt thành bc SM2-3 + kiểm tra L3,4,5
* ĐCN đo cách điện L6</t>
        </is>
      </c>
      <c r="M297" s="20" t="inlineStr">
        <is>
          <t xml:space="preserve">Ca ngày: </t>
        </is>
      </c>
    </row>
    <row r="298" ht="56.25" customHeight="1" s="22">
      <c r="A298" s="246" t="n"/>
      <c r="B298" s="246" t="n"/>
      <c r="C298" s="246" t="n"/>
      <c r="D298" s="246" t="n"/>
      <c r="E298" s="246" t="n"/>
      <c r="F298" s="246" t="n"/>
      <c r="G298" s="246" t="n"/>
      <c r="H298" s="246" t="n"/>
      <c r="I298" s="246" t="n"/>
      <c r="J298" s="246" t="n"/>
      <c r="K298" s="60" t="inlineStr">
        <is>
          <t>* Không có.
* Băng chuyền đến A5 máy soi không hoạt động được, tạm ngưng khai thác. (từ ngày 18/5/2025).</t>
        </is>
      </c>
      <c r="L298" s="60" t="inlineStr">
        <is>
          <t xml:space="preserve">* ĐCK thay lá Ovan đi số 4 : lá 229  , Ovan đi số 5 lá : 78,131, Ovan đi số 6: lá 42
* Bảo trì cân J1 đến J6  </t>
        </is>
      </c>
      <c r="M298" s="20" t="inlineStr">
        <is>
          <t>Ca đêm: Tuyến</t>
        </is>
      </c>
    </row>
    <row r="299" ht="37.5" customHeight="1" s="22">
      <c r="A299" s="231" t="n">
        <v>45806</v>
      </c>
      <c r="B299" s="151" t="n">
        <v>139</v>
      </c>
      <c r="C299" s="151" t="n">
        <v>21372</v>
      </c>
      <c r="D299" s="151" t="n">
        <v>144</v>
      </c>
      <c r="E299" s="151" t="n">
        <v>23127</v>
      </c>
      <c r="F299" s="151" t="n">
        <v>22199</v>
      </c>
      <c r="G299" s="151" t="n">
        <v>4165</v>
      </c>
      <c r="H299" s="151" t="n">
        <v>24847</v>
      </c>
      <c r="I299" s="142" t="n">
        <v>145</v>
      </c>
      <c r="J299" s="143" t="n">
        <v>138</v>
      </c>
      <c r="K299" s="71" t="inlineStr">
        <is>
          <t>* khay 133 mất bánh xe, bể cover trắng đã disable.</t>
        </is>
      </c>
      <c r="L299" s="60" t="inlineStr">
        <is>
          <t>* ĐCK thay rulo chủ động L2-37
* ĐCN đo cách điện motor checkin L6 + tủ MCP CI line6</t>
        </is>
      </c>
      <c r="M299" s="20" t="inlineStr">
        <is>
          <t>Ca ngày: Bình</t>
        </is>
      </c>
    </row>
    <row r="300" ht="56.25" customHeight="1" s="22">
      <c r="A300" s="246" t="n"/>
      <c r="B300" s="246" t="n"/>
      <c r="C300" s="246" t="n"/>
      <c r="D300" s="246" t="n"/>
      <c r="E300" s="246" t="n"/>
      <c r="F300" s="246" t="n"/>
      <c r="G300" s="246" t="n"/>
      <c r="H300" s="246" t="n"/>
      <c r="I300" s="246" t="n"/>
      <c r="J300" s="246" t="n"/>
      <c r="K300" s="60" t="inlineStr">
        <is>
          <t>* Không có.
* Băng chuyền đến A5 máy soi không hoạt động được, tạm ngưng khai thác. (từ ngày 18/5/2025).</t>
        </is>
      </c>
      <c r="L300" s="60" t="inlineStr">
        <is>
          <t>* ĐCK vệ sinh băng chuyền cân dãy G.</t>
        </is>
      </c>
      <c r="M300" s="20" t="inlineStr">
        <is>
          <t>Ca đêm: Tú</t>
        </is>
      </c>
    </row>
    <row r="301" ht="56.25" customHeight="1" s="22">
      <c r="A301" s="231" t="n">
        <v>45807</v>
      </c>
      <c r="B301" s="151" t="n">
        <v>150</v>
      </c>
      <c r="C301" s="151" t="n">
        <v>24579</v>
      </c>
      <c r="D301" s="151" t="n">
        <v>146</v>
      </c>
      <c r="E301" s="151" t="n">
        <v>25096</v>
      </c>
      <c r="F301" s="151" t="n">
        <v>25547</v>
      </c>
      <c r="G301" s="151" t="n">
        <v>4649</v>
      </c>
      <c r="H301" s="151" t="n">
        <v>24871</v>
      </c>
      <c r="I301" s="142" t="n">
        <v>141</v>
      </c>
      <c r="J301" s="143" t="n">
        <v>133</v>
      </c>
      <c r="K301" s="71" t="inlineStr">
        <is>
          <t>* Không có.</t>
        </is>
      </c>
      <c r="L301" s="60" t="inlineStr">
        <is>
          <t>* ĐCK kiểm tra, vệ sinh, bảo trì Ovan đi số 2 và Ovan đi số 6 (thay bánh CTD 28, 71, 131), 
* ĐCN đo cách điện motor L5</t>
        </is>
      </c>
      <c r="M301" s="20" t="inlineStr">
        <is>
          <t>Ca ngày: Bình</t>
        </is>
      </c>
    </row>
    <row r="302" ht="75" customHeight="1" s="22">
      <c r="A302" s="246" t="n"/>
      <c r="B302" s="246" t="n"/>
      <c r="C302" s="246" t="n"/>
      <c r="D302" s="246" t="n"/>
      <c r="E302" s="246" t="n"/>
      <c r="F302" s="246" t="n"/>
      <c r="G302" s="246" t="n"/>
      <c r="H302" s="246" t="n"/>
      <c r="I302" s="246" t="n"/>
      <c r="J302" s="246" t="n"/>
      <c r="K302" s="60" t="inlineStr">
        <is>
          <t>* Không có.
* Nhá điện lúc 00:52 =&gt; Reset hệ thống hoạt động bình thường.
* Băng chuyền đến A5 máy soi không hoạt động được, tạm ngưng khai thác. (từ ngày 18/5/2025).</t>
        </is>
      </c>
      <c r="L302" s="60" t="inlineStr">
        <is>
          <t xml:space="preserve">* ĐCK vệ sinh kiểm tra quầy cân H1 - &gt; H10
</t>
        </is>
      </c>
      <c r="M302" s="20" t="inlineStr">
        <is>
          <t>Ca đêm: Vũ</t>
        </is>
      </c>
    </row>
    <row r="303" ht="23.25" customHeight="1" s="22">
      <c r="A303" s="231" t="n">
        <v>45808</v>
      </c>
      <c r="B303" s="151" t="n">
        <v>148</v>
      </c>
      <c r="C303" s="151" t="n">
        <v>24225</v>
      </c>
      <c r="D303" s="151" t="n">
        <v>144</v>
      </c>
      <c r="E303" s="151" t="n">
        <v>24818</v>
      </c>
      <c r="F303" s="151" t="n">
        <v>24691</v>
      </c>
      <c r="G303" s="151" t="n">
        <v>4457</v>
      </c>
      <c r="H303" s="151" t="n">
        <v>24894</v>
      </c>
      <c r="I303" s="142" t="n">
        <v>145</v>
      </c>
      <c r="J303" s="143" t="n">
        <v>138</v>
      </c>
      <c r="K303" s="70" t="inlineStr">
        <is>
          <t>* Không có.</t>
        </is>
      </c>
      <c r="L303" s="60" t="inlineStr">
        <is>
          <t>* ĐCK kiểm tra motor L5, L6</t>
        </is>
      </c>
      <c r="M303" s="20" t="inlineStr">
        <is>
          <t>Ca ngày: Hùng</t>
        </is>
      </c>
    </row>
    <row r="304" ht="45" customHeight="1" s="22">
      <c r="A304" s="246" t="n"/>
      <c r="B304" s="246" t="n"/>
      <c r="C304" s="246" t="n"/>
      <c r="D304" s="246" t="n"/>
      <c r="E304" s="246" t="n"/>
      <c r="F304" s="246" t="n"/>
      <c r="G304" s="246" t="n"/>
      <c r="H304" s="246" t="n"/>
      <c r="I304" s="246" t="n"/>
      <c r="J304" s="246" t="n"/>
      <c r="K304" s="70" t="inlineStr">
        <is>
          <t>* Băng chuyền đến A5 máy soi không hoạt động được, tạm ngưng khai thác. (từ ngày 18/5/2025).</t>
        </is>
      </c>
      <c r="L304" s="60" t="inlineStr">
        <is>
          <t xml:space="preserve">* ĐCK (Công) bảo trì các quầy cân đảo checkin G-H.
* đảo quầy cân F9,F10 sang G6,G7 </t>
        </is>
      </c>
      <c r="M304" s="20" t="inlineStr">
        <is>
          <t>Ca đêm: Vũ</t>
        </is>
      </c>
    </row>
    <row r="305" ht="38.25" customHeight="1" s="22">
      <c r="A305" s="231" t="n">
        <v>45809</v>
      </c>
      <c r="B305" s="151" t="n">
        <v>144</v>
      </c>
      <c r="C305" s="151" t="n">
        <v>23459</v>
      </c>
      <c r="D305" s="151" t="n">
        <v>142</v>
      </c>
      <c r="E305" s="151" t="n">
        <v>23995</v>
      </c>
      <c r="F305" s="151" t="n">
        <v>24291</v>
      </c>
      <c r="G305" s="151" t="n">
        <v>4390</v>
      </c>
      <c r="H305" s="151" t="n">
        <v>24915</v>
      </c>
      <c r="I305" s="142" t="n">
        <v>147</v>
      </c>
      <c r="J305" s="143" t="n">
        <v>135</v>
      </c>
      <c r="K305" s="71" t="inlineStr">
        <is>
          <t>* Cân H5 mất núm chụp Release. Đã báo ĐCN thay núm chụp mới. (đã thay vào ca đêm)</t>
        </is>
      </c>
      <c r="L305" s="60" t="inlineStr">
        <is>
          <t>* đội IT thay màn hình FIDS B10</t>
        </is>
      </c>
      <c r="M305" s="20" t="inlineStr">
        <is>
          <t>ca ngày : Hùng</t>
        </is>
      </c>
    </row>
    <row r="306" ht="63" customHeight="1" s="22">
      <c r="A306" s="246" t="n"/>
      <c r="B306" s="246" t="n"/>
      <c r="C306" s="246" t="n"/>
      <c r="D306" s="246" t="n"/>
      <c r="E306" s="246" t="n"/>
      <c r="F306" s="246" t="n"/>
      <c r="G306" s="246" t="n"/>
      <c r="H306" s="246" t="n"/>
      <c r="I306" s="246" t="n"/>
      <c r="J306" s="246" t="n"/>
      <c r="K306" s="60" t="inlineStr">
        <is>
          <t>* Không có.
* Băng chuyền đến A5 máy soi không hoạt động được, tạm ngưng khai thác. (từ ngày 18/5/2025).</t>
        </is>
      </c>
      <c r="L306" s="60" t="inlineStr">
        <is>
          <t>* Không có.</t>
        </is>
      </c>
      <c r="M306" s="20" t="inlineStr">
        <is>
          <t>Ca đêm: Vũ</t>
        </is>
      </c>
    </row>
    <row r="307">
      <c r="A307" s="231" t="n">
        <v>45810</v>
      </c>
      <c r="B307" s="151" t="n">
        <v>141</v>
      </c>
      <c r="C307" s="151" t="n">
        <v>23351</v>
      </c>
      <c r="D307" s="151" t="n">
        <v>143</v>
      </c>
      <c r="E307" s="151" t="n">
        <v>23661</v>
      </c>
      <c r="F307" s="151" t="n">
        <v>22173</v>
      </c>
      <c r="G307" s="151" t="n">
        <v>4409</v>
      </c>
      <c r="H307" s="151" t="n">
        <v>24938</v>
      </c>
      <c r="I307" s="142" t="n">
        <v>140</v>
      </c>
      <c r="J307" s="143" t="n">
        <v>142</v>
      </c>
      <c r="K307" s="71" t="inlineStr">
        <is>
          <t>* ĐCN đã chỉnh cân G7 không release được,hđbt theo dõi thêm.</t>
        </is>
      </c>
      <c r="L307" s="60" t="inlineStr">
        <is>
          <t>* Không có.</t>
        </is>
      </c>
      <c r="M307" s="20" t="inlineStr">
        <is>
          <t>Ca ngày: Bình</t>
        </is>
      </c>
    </row>
    <row r="308" ht="114" customHeight="1" s="22">
      <c r="A308" s="246" t="n"/>
      <c r="B308" s="246" t="n"/>
      <c r="C308" s="246" t="n"/>
      <c r="D308" s="246" t="n"/>
      <c r="E308" s="246" t="n"/>
      <c r="F308" s="246" t="n"/>
      <c r="G308" s="246" t="n"/>
      <c r="H308" s="246" t="n"/>
      <c r="I308" s="246" t="n"/>
      <c r="J308" s="246" t="n"/>
      <c r="K308" s="70" t="inlineStr">
        <is>
          <t>* Băng chuyền đến A5 máy soi không hoạt động được, tạm ngưng khai thác. (từ ngày 18/5/2025).</t>
        </is>
      </c>
      <c r="L308" s="60" t="inlineStr">
        <is>
          <t xml:space="preserve">* ĐCK : Thay lá tapi 70;201;159;112 của Oval đi số 1.và bánh
xe chịu tải dưới: 219;220;203.
*Thay lá tapi số 164;163 và bánh xe dẫn hướng 164 của Oval 4
* Thay lá 35;57;58;86;94;141;132. của Oval đi 5.
</t>
        </is>
      </c>
      <c r="M308" s="20" t="inlineStr">
        <is>
          <t>ca đêm : Tú</t>
        </is>
      </c>
    </row>
    <row r="309" ht="37.5" customHeight="1" s="22">
      <c r="A309" s="231" t="n">
        <v>45811</v>
      </c>
      <c r="B309" s="151" t="n">
        <v>144</v>
      </c>
      <c r="C309" s="151" t="n">
        <v>22507</v>
      </c>
      <c r="D309" s="151" t="n">
        <v>144</v>
      </c>
      <c r="E309" s="151" t="n">
        <v>22167</v>
      </c>
      <c r="F309" s="151" t="n">
        <v>22846</v>
      </c>
      <c r="G309" s="151" t="n">
        <v>4301</v>
      </c>
      <c r="H309" s="151" t="n">
        <v>24961</v>
      </c>
      <c r="I309" s="142" t="n">
        <v>144</v>
      </c>
      <c r="J309" s="143" t="n">
        <v>140</v>
      </c>
      <c r="K309" s="71" t="inlineStr">
        <is>
          <t>* Không có.</t>
        </is>
      </c>
      <c r="L309" s="60" t="inlineStr">
        <is>
          <t>* CK bảo trì L5 - L6.
* ĐCN bảo trì L5.</t>
        </is>
      </c>
      <c r="M309" s="20" t="inlineStr">
        <is>
          <t>Ca ngày: Vũ</t>
        </is>
      </c>
    </row>
    <row r="310" ht="81.75" customHeight="1" s="22">
      <c r="A310" s="246" t="n"/>
      <c r="B310" s="246" t="n"/>
      <c r="C310" s="246" t="n"/>
      <c r="D310" s="246" t="n"/>
      <c r="E310" s="246" t="n"/>
      <c r="F310" s="246" t="n"/>
      <c r="G310" s="246" t="n"/>
      <c r="H310" s="246" t="n"/>
      <c r="I310" s="246" t="n"/>
      <c r="J310" s="246" t="n"/>
      <c r="K310" s="60" t="inlineStr">
        <is>
          <t>ĐCK đã chỉnh Quầy cân G8 lệch ký nhiều lần, hđbt theo dõi thêm.
* Băng chuyền đến A5 máy soi không hoạt động được, tạm ngưng khai thác. (từ ngày 18/5/2025).</t>
        </is>
      </c>
      <c r="L310" s="60" t="inlineStr">
        <is>
          <t>* ĐCK bảo trì ovan đi 2,6.</t>
        </is>
      </c>
      <c r="M310" s="20" t="inlineStr">
        <is>
          <t>Ca đêm: Bình</t>
        </is>
      </c>
    </row>
    <row r="311" ht="55.5" customHeight="1" s="22">
      <c r="A311" s="231" t="n">
        <v>45812</v>
      </c>
      <c r="B311" s="151" t="n">
        <v>146</v>
      </c>
      <c r="C311" s="151" t="n">
        <v>22336</v>
      </c>
      <c r="D311" s="151" t="n">
        <v>146</v>
      </c>
      <c r="E311" s="151" t="n">
        <v>22808</v>
      </c>
      <c r="F311" s="151" t="n">
        <v>22169</v>
      </c>
      <c r="G311" s="151" t="n">
        <v>3986</v>
      </c>
      <c r="H311" s="151" t="n">
        <v>24985</v>
      </c>
      <c r="I311" s="142" t="n">
        <v>146</v>
      </c>
      <c r="J311" s="143" t="n">
        <v>137</v>
      </c>
      <c r="K311" s="58" t="inlineStr">
        <is>
          <t>* Không có.</t>
        </is>
      </c>
      <c r="L311" s="60" t="inlineStr">
        <is>
          <t>* ĐCK thay 4 loadcell; box tín hiệu và 2 màn hình hiển thị cho 
cân G8.hđbt</t>
        </is>
      </c>
      <c r="M311" s="20" t="inlineStr">
        <is>
          <t>Ca ngày : Tú</t>
        </is>
      </c>
    </row>
    <row r="312" ht="57" customHeight="1" s="22">
      <c r="A312" s="246" t="n"/>
      <c r="B312" s="246" t="n"/>
      <c r="C312" s="246" t="n"/>
      <c r="D312" s="246" t="n"/>
      <c r="E312" s="246" t="n"/>
      <c r="F312" s="246" t="n"/>
      <c r="G312" s="246" t="n"/>
      <c r="H312" s="246" t="n"/>
      <c r="I312" s="246" t="n"/>
      <c r="J312" s="246" t="n"/>
      <c r="K312" s="60" t="inlineStr">
        <is>
          <t xml:space="preserve">* Không có.
* Băng chuyền đến A5 máy soi không hoạt động được, tạm ngưng khai thác. (từ ngày 18/5/2025).
</t>
        </is>
      </c>
      <c r="L312" s="58" t="inlineStr">
        <is>
          <t>* CK bảo tri các quầy cân đảo F.</t>
        </is>
      </c>
      <c r="M312" s="20" t="inlineStr">
        <is>
          <t>Ca đêm: Vũ</t>
        </is>
      </c>
    </row>
    <row r="313" ht="56.25" customHeight="1" s="22">
      <c r="A313" s="231" t="n">
        <v>45813</v>
      </c>
      <c r="B313" s="151" t="n">
        <v>146</v>
      </c>
      <c r="C313" s="151" t="n">
        <v>22386</v>
      </c>
      <c r="D313" s="151" t="n">
        <v>142</v>
      </c>
      <c r="E313" s="151" t="n">
        <v>22596</v>
      </c>
      <c r="F313" s="151" t="n">
        <v>24407</v>
      </c>
      <c r="G313" s="151" t="n">
        <v>4738</v>
      </c>
      <c r="H313" s="151" t="n">
        <v>25008</v>
      </c>
      <c r="I313" s="142" t="n">
        <v>141</v>
      </c>
      <c r="J313" s="143" t="n">
        <v>142</v>
      </c>
      <c r="K313" s="60" t="inlineStr">
        <is>
          <t>* Không có.</t>
        </is>
      </c>
      <c r="L313" s="60" t="inlineStr">
        <is>
          <t xml:space="preserve">* ĐCK thay rulo bị động L3-31, hoạt động bình thường, ĐCN kiểm tra L3
</t>
        </is>
      </c>
      <c r="M313" s="20" t="inlineStr">
        <is>
          <t>Ca ngày : Đồng</t>
        </is>
      </c>
    </row>
    <row r="314" ht="75.75" customHeight="1" s="22">
      <c r="A314" s="246" t="n"/>
      <c r="B314" s="246" t="n"/>
      <c r="C314" s="246" t="n"/>
      <c r="D314" s="246" t="n"/>
      <c r="E314" s="246" t="n"/>
      <c r="F314" s="246" t="n"/>
      <c r="G314" s="246" t="n"/>
      <c r="H314" s="246" t="n"/>
      <c r="I314" s="246" t="n"/>
      <c r="J314" s="246" t="n"/>
      <c r="K314" s="60" t="inlineStr">
        <is>
          <t>* Băng chuyền đến A5 máy soi không hoạt động được, tạm ngưng khai thác. (từ ngày 18/5/2025)</t>
        </is>
      </c>
      <c r="L314" s="58" t="inlineStr">
        <is>
          <t>* ĐCK vệ sinh, calib quầy cân E1-E8, J7-J10</t>
        </is>
      </c>
      <c r="M314" s="20" t="inlineStr">
        <is>
          <t>Ca đêm: Hùng</t>
        </is>
      </c>
    </row>
    <row r="315" ht="42" customHeight="1" s="22">
      <c r="A315" s="231" t="n">
        <v>45814</v>
      </c>
      <c r="B315" s="151" t="n">
        <v>140</v>
      </c>
      <c r="C315" s="151" t="n">
        <v>22213</v>
      </c>
      <c r="D315" s="151" t="n">
        <v>139</v>
      </c>
      <c r="E315" s="151" t="n">
        <v>22706</v>
      </c>
      <c r="F315" s="151" t="n">
        <v>23021</v>
      </c>
      <c r="G315" s="151" t="n">
        <v>4232</v>
      </c>
      <c r="H315" s="151" t="n">
        <v>25031</v>
      </c>
      <c r="I315" s="142" t="n">
        <v>140</v>
      </c>
      <c r="J315" s="143" t="n">
        <v>138</v>
      </c>
      <c r="K315" s="60" t="inlineStr">
        <is>
          <t>*Cân A1 bị đổ rượu đã lập biên bản sự việc, tạm thời khai thác
(theo dõi thêm)</t>
        </is>
      </c>
      <c r="L315" s="58" t="inlineStr">
        <is>
          <t>* ĐCK kiểm tra L1,2,3,4,5,6</t>
        </is>
      </c>
      <c r="M315" s="20" t="inlineStr">
        <is>
          <t>Ca ngày: Đồng</t>
        </is>
      </c>
    </row>
    <row r="316">
      <c r="A316" s="246" t="n"/>
      <c r="B316" s="246" t="n"/>
      <c r="C316" s="246" t="n"/>
      <c r="D316" s="246" t="n"/>
      <c r="E316" s="246" t="n"/>
      <c r="F316" s="246" t="n"/>
      <c r="G316" s="246" t="n"/>
      <c r="H316" s="246" t="n"/>
      <c r="I316" s="246" t="n"/>
      <c r="J316" s="246" t="n"/>
      <c r="K316" s="60" t="inlineStr">
        <is>
          <t>* Không có.</t>
        </is>
      </c>
      <c r="L316" s="58" t="inlineStr">
        <is>
          <t>* ĐCK bảo trì ovan đến số 1.2</t>
        </is>
      </c>
      <c r="M316" s="20" t="inlineStr">
        <is>
          <t>Ca đêm: Bình</t>
        </is>
      </c>
    </row>
    <row r="317" ht="36.75" customHeight="1" s="22">
      <c r="A317" s="231" t="n">
        <v>45815</v>
      </c>
      <c r="B317" s="151" t="n">
        <v>145</v>
      </c>
      <c r="C317" s="151" t="n">
        <v>23455</v>
      </c>
      <c r="D317" s="151" t="n">
        <v>144</v>
      </c>
      <c r="E317" s="151" t="n">
        <v>22699</v>
      </c>
      <c r="F317" s="151" t="n">
        <v>22702</v>
      </c>
      <c r="G317" s="151" t="n">
        <v>4037</v>
      </c>
      <c r="H317" s="151" t="n">
        <v>25053</v>
      </c>
      <c r="I317" s="142" t="n">
        <v>146</v>
      </c>
      <c r="J317" s="143" t="n">
        <v>138</v>
      </c>
      <c r="K317" s="58" t="inlineStr">
        <is>
          <t>* Không có</t>
        </is>
      </c>
      <c r="L317" s="58" t="inlineStr">
        <is>
          <t>* Không có</t>
        </is>
      </c>
      <c r="M317" s="20" t="inlineStr">
        <is>
          <t>Ca ngày : Tú</t>
        </is>
      </c>
    </row>
    <row r="318" ht="58.5" customHeight="1" s="22">
      <c r="A318" s="246" t="n"/>
      <c r="B318" s="246" t="n"/>
      <c r="C318" s="246" t="n"/>
      <c r="D318" s="246" t="n"/>
      <c r="E318" s="246" t="n"/>
      <c r="F318" s="246" t="n"/>
      <c r="G318" s="246" t="n"/>
      <c r="H318" s="246" t="n"/>
      <c r="I318" s="246" t="n"/>
      <c r="J318" s="246" t="n"/>
      <c r="K318" s="60" t="inlineStr">
        <is>
          <t>* Không có.
* Băng chuyền đến A5 máy soi không hoạt động được, tạm ngưng 
khai thác (từ ngày 18/5/2025)</t>
        </is>
      </c>
      <c r="L318" s="60" t="inlineStr">
        <is>
          <t xml:space="preserve">ĐCK bảo trì ovan đi số 3 , thay lá số 26 , bánh xe chịu tải trên :
1,2,4,11,12,14,18,51,58,68,72,73,77,79,81,44,45,41,144,145,179
,202,203,217,229,230,204;bánh dẫn hướng : 84
</t>
        </is>
      </c>
      <c r="M318" s="20" t="inlineStr">
        <is>
          <t>Ca đêm: Vũ</t>
        </is>
      </c>
    </row>
    <row r="319">
      <c r="A319" s="231" t="n">
        <v>45816</v>
      </c>
      <c r="B319" s="151" t="n">
        <v>141</v>
      </c>
      <c r="C319" s="151" t="n">
        <v>22859</v>
      </c>
      <c r="D319" s="151" t="n">
        <v>141</v>
      </c>
      <c r="E319" s="151" t="n">
        <v>22804</v>
      </c>
      <c r="F319" s="151" t="n">
        <v>22839</v>
      </c>
      <c r="G319" s="151" t="n">
        <v>3904</v>
      </c>
      <c r="H319" s="151" t="n">
        <v>25075</v>
      </c>
      <c r="I319" s="142" t="n">
        <v>145</v>
      </c>
      <c r="J319" s="143" t="n">
        <v>138</v>
      </c>
      <c r="K319" s="58" t="inlineStr">
        <is>
          <t>* Không có</t>
        </is>
      </c>
      <c r="L319" s="58" t="inlineStr">
        <is>
          <t>* Không có</t>
        </is>
      </c>
      <c r="M319" s="20" t="inlineStr">
        <is>
          <t>Ca ngày : Bình</t>
        </is>
      </c>
    </row>
    <row r="320" ht="94.5" customHeight="1" s="22">
      <c r="A320" s="246" t="n"/>
      <c r="B320" s="246" t="n"/>
      <c r="C320" s="246" t="n"/>
      <c r="D320" s="246" t="n"/>
      <c r="E320" s="246" t="n"/>
      <c r="F320" s="246" t="n"/>
      <c r="G320" s="246" t="n"/>
      <c r="H320" s="246" t="n"/>
      <c r="I320" s="246" t="n"/>
      <c r="J320" s="246" t="n"/>
      <c r="K320" s="60" t="inlineStr">
        <is>
          <t>*  Băng chuyền đến A5 máy soi không hoạt động được, tạm ngưng
 khai thác. (từ ngày 18/5/2025)</t>
        </is>
      </c>
      <c r="L320" s="58" t="inlineStr">
        <is>
          <t>* Không có.</t>
        </is>
      </c>
      <c r="M320" s="20" t="inlineStr">
        <is>
          <t>Ca Đêm : Tú</t>
        </is>
      </c>
    </row>
    <row r="321">
      <c r="A321" s="231" t="n">
        <v>45817</v>
      </c>
      <c r="B321" s="151" t="n">
        <v>140</v>
      </c>
      <c r="C321" s="151" t="n">
        <v>21838</v>
      </c>
      <c r="D321" s="151" t="n">
        <v>145</v>
      </c>
      <c r="E321" s="151" t="n">
        <v>23176</v>
      </c>
      <c r="F321" s="151" t="n">
        <v>20771</v>
      </c>
      <c r="G321" s="151" t="n">
        <v>3127</v>
      </c>
      <c r="H321" s="151" t="n">
        <v>25097</v>
      </c>
      <c r="I321" s="142" t="n">
        <v>138</v>
      </c>
      <c r="J321" s="143" t="n">
        <v>144</v>
      </c>
      <c r="K321" s="58" t="inlineStr">
        <is>
          <t>* Không có</t>
        </is>
      </c>
      <c r="L321" s="58" t="inlineStr">
        <is>
          <t>* ĐCN bảo trì tủ departure 3,4.</t>
        </is>
      </c>
      <c r="M321" s="20" t="inlineStr">
        <is>
          <t>Ca ngày : Bình</t>
        </is>
      </c>
    </row>
    <row r="322" ht="37.5" customHeight="1" s="22">
      <c r="A322" s="246" t="n"/>
      <c r="B322" s="246" t="n"/>
      <c r="C322" s="246" t="n"/>
      <c r="D322" s="246" t="n"/>
      <c r="E322" s="246" t="n"/>
      <c r="F322" s="246" t="n"/>
      <c r="G322" s="246" t="n"/>
      <c r="H322" s="246" t="n"/>
      <c r="I322" s="246" t="n"/>
      <c r="J322" s="246" t="n"/>
      <c r="K322" s="60" t="inlineStr">
        <is>
          <t>* Băng chuyền đến A5 máy soi không hoạt động được, tạm ngưng
 khai thác. (từ ngày 18/5/2025)</t>
        </is>
      </c>
      <c r="L322" s="58" t="inlineStr">
        <is>
          <t>* Không có</t>
        </is>
      </c>
      <c r="M322" s="20" t="inlineStr">
        <is>
          <t>Ca đêm: Đồng</t>
        </is>
      </c>
    </row>
    <row r="323" ht="38.25" customHeight="1" s="22">
      <c r="A323" s="231" t="n">
        <v>45818</v>
      </c>
      <c r="B323" s="151" t="n">
        <v>139</v>
      </c>
      <c r="C323" s="151" t="n">
        <v>21216</v>
      </c>
      <c r="D323" s="151" t="n">
        <v>139</v>
      </c>
      <c r="E323" s="151" t="n">
        <v>21931</v>
      </c>
      <c r="F323" s="151" t="n">
        <v>23014</v>
      </c>
      <c r="G323" s="151" t="n">
        <v>3921</v>
      </c>
      <c r="H323" s="151" t="n">
        <v>25122</v>
      </c>
      <c r="I323" s="142" t="n">
        <v>144</v>
      </c>
      <c r="J323" s="143" t="n">
        <v>136</v>
      </c>
      <c r="K323" s="58" t="inlineStr">
        <is>
          <t>* không có</t>
        </is>
      </c>
      <c r="L323" s="60" t="inlineStr">
        <is>
          <t>* ĐCK bảo trì Line 3;4;5. 
* ĐCN bảo trì tủ điện Departure L1 ;L2.</t>
        </is>
      </c>
      <c r="M323" s="20" t="inlineStr">
        <is>
          <t>Ca ngày : Tú</t>
        </is>
      </c>
    </row>
    <row r="324" ht="76.5" customHeight="1" s="22">
      <c r="A324" s="246" t="n"/>
      <c r="B324" s="246" t="n"/>
      <c r="C324" s="246" t="n"/>
      <c r="D324" s="246" t="n"/>
      <c r="E324" s="246" t="n"/>
      <c r="F324" s="246" t="n"/>
      <c r="G324" s="246" t="n"/>
      <c r="H324" s="246" t="n"/>
      <c r="I324" s="246" t="n"/>
      <c r="J324" s="246" t="n"/>
      <c r="K324" s="60" t="inlineStr">
        <is>
          <t>* 2 lá 122, 105 của oval số 1 bị bung. ĐCK đã xử lý xong.
* Khay 17 mất bánh xe =&gt; Disabled.
* Băng chuyền đến A5 máy soi không hoạt động được, tạm ngưng
 khai thác. (từ ngày 18/5/2025)</t>
        </is>
      </c>
      <c r="L324" s="58" t="inlineStr">
        <is>
          <t>* Không có.</t>
        </is>
      </c>
      <c r="M324" s="20" t="inlineStr">
        <is>
          <t>Ca đêm: Vũ</t>
        </is>
      </c>
    </row>
    <row r="325">
      <c r="A325" s="231" t="n">
        <v>45819</v>
      </c>
      <c r="B325" s="151" t="n">
        <v>147</v>
      </c>
      <c r="C325" s="151" t="n">
        <v>22289</v>
      </c>
      <c r="D325" s="151" t="n">
        <v>142</v>
      </c>
      <c r="E325" s="151" t="n">
        <v>22180</v>
      </c>
      <c r="F325" s="151" t="n">
        <v>23316</v>
      </c>
      <c r="G325" s="151" t="n">
        <v>3955</v>
      </c>
      <c r="H325" s="151" t="n">
        <v>25144</v>
      </c>
      <c r="I325" s="142" t="n">
        <v>144</v>
      </c>
      <c r="J325" s="143" t="n">
        <v>137</v>
      </c>
      <c r="K325" s="58" t="inlineStr">
        <is>
          <t>* Không có.</t>
        </is>
      </c>
      <c r="L325" s="58" t="inlineStr">
        <is>
          <t>* Không có</t>
        </is>
      </c>
      <c r="M325" s="20" t="inlineStr">
        <is>
          <t>Ca ngày: Đồng</t>
        </is>
      </c>
    </row>
    <row r="326" ht="57" customHeight="1" s="22">
      <c r="A326" s="246" t="n"/>
      <c r="B326" s="246" t="n"/>
      <c r="C326" s="246" t="n"/>
      <c r="D326" s="246" t="n"/>
      <c r="E326" s="246" t="n"/>
      <c r="F326" s="246" t="n"/>
      <c r="G326" s="246" t="n"/>
      <c r="H326" s="246" t="n"/>
      <c r="I326" s="246" t="n"/>
      <c r="J326" s="246" t="n"/>
      <c r="K326" s="60" t="inlineStr">
        <is>
          <t>* Băng chuyền đến A5 máy soi không hoạt động được, tạm ngưng
 khai thác. (từ ngày 18/5/2025)</t>
        </is>
      </c>
      <c r="L326" s="58" t="inlineStr">
        <is>
          <t>* Không có</t>
        </is>
      </c>
      <c r="M326" s="20" t="inlineStr">
        <is>
          <t>Ca Đêm : Tú</t>
        </is>
      </c>
    </row>
    <row r="327">
      <c r="A327" s="231" t="n">
        <v>45820</v>
      </c>
      <c r="B327" s="151" t="n">
        <v>141</v>
      </c>
      <c r="C327" s="151" t="n">
        <v>21562</v>
      </c>
      <c r="D327" s="151" t="n">
        <v>143</v>
      </c>
      <c r="E327" s="151" t="n">
        <v>22464</v>
      </c>
      <c r="F327" s="151" t="n">
        <v>22197</v>
      </c>
      <c r="G327" s="151" t="n">
        <v>3795</v>
      </c>
      <c r="H327" s="151" t="n">
        <v>25168</v>
      </c>
      <c r="I327" s="142" t="n">
        <v>142</v>
      </c>
      <c r="J327" s="143" t="n">
        <v>136</v>
      </c>
      <c r="K327" s="58" t="inlineStr">
        <is>
          <t>* Không có.</t>
        </is>
      </c>
      <c r="L327" s="58" t="inlineStr">
        <is>
          <t>* CK kiểm tra b/c đến A1-A8.</t>
        </is>
      </c>
      <c r="M327" s="20" t="inlineStr">
        <is>
          <t>Ca ngày : Vũ</t>
        </is>
      </c>
    </row>
    <row r="328">
      <c r="A328" s="246" t="n"/>
      <c r="B328" s="246" t="n"/>
      <c r="C328" s="246" t="n"/>
      <c r="D328" s="246" t="n"/>
      <c r="E328" s="246" t="n"/>
      <c r="F328" s="246" t="n"/>
      <c r="G328" s="246" t="n"/>
      <c r="H328" s="246" t="n"/>
      <c r="I328" s="246" t="n"/>
      <c r="J328" s="246" t="n"/>
      <c r="K328" s="58" t="inlineStr">
        <is>
          <t>* Không có.</t>
        </is>
      </c>
      <c r="L328" s="60" t="inlineStr">
        <is>
          <t>* ĐCK bảo trì b/c đến số 5</t>
        </is>
      </c>
      <c r="M328" s="20" t="inlineStr">
        <is>
          <t>Ca đêm : Bình</t>
        </is>
      </c>
    </row>
    <row r="329" ht="57.75" customHeight="1" s="22">
      <c r="A329" s="231" t="n">
        <v>45821</v>
      </c>
      <c r="B329" s="151" t="n">
        <v>145</v>
      </c>
      <c r="C329" s="151" t="n">
        <v>21562</v>
      </c>
      <c r="D329" s="151" t="n">
        <v>142</v>
      </c>
      <c r="E329" s="151" t="n">
        <v>22464</v>
      </c>
      <c r="F329" s="151" t="n">
        <v>23126</v>
      </c>
      <c r="G329" s="151" t="n">
        <v>4266</v>
      </c>
      <c r="H329" s="151" t="n">
        <v>25192</v>
      </c>
      <c r="I329" s="142" t="n">
        <v>145</v>
      </c>
      <c r="J329" s="143" t="n">
        <v>136</v>
      </c>
      <c r="K329" s="58" t="inlineStr">
        <is>
          <t>* Motor BC 4 của Ind 4 bị xì nhớt ca sau theo dõi tiếp.</t>
        </is>
      </c>
      <c r="L329" s="60" t="inlineStr">
        <is>
          <t>* ĐCK kiểm tra các băng chuyền cong khu vực Departure.
* ĐCK thay ( xương + lá tapi ) 112 của Oval đi số 5.</t>
        </is>
      </c>
      <c r="M329" s="20" t="inlineStr">
        <is>
          <t>Ca ngày : Tú</t>
        </is>
      </c>
    </row>
    <row r="330" ht="61.5" customHeight="1" s="22">
      <c r="A330" s="246" t="n"/>
      <c r="B330" s="246" t="n"/>
      <c r="C330" s="246" t="n"/>
      <c r="D330" s="246" t="n"/>
      <c r="E330" s="246" t="n"/>
      <c r="F330" s="246" t="n"/>
      <c r="G330" s="246" t="n"/>
      <c r="H330" s="246" t="n"/>
      <c r="I330" s="246" t="n"/>
      <c r="J330" s="246" t="n"/>
      <c r="K330" s="60" t="inlineStr">
        <is>
          <t>* Cắt belt số 8, 9 của induction 6.
* Băng chuyền đến A5 máy soi không hoạt động được, tạm ngưng
 khai thác. (từ ngày 18/5/2025).</t>
        </is>
      </c>
      <c r="L330" s="58" t="inlineStr">
        <is>
          <t>* CK thay rulo bị động cuối SM4-2.</t>
        </is>
      </c>
      <c r="M330" s="20" t="inlineStr">
        <is>
          <t>Ca đêm: Vũ</t>
        </is>
      </c>
    </row>
    <row r="331">
      <c r="A331" s="231" t="n">
        <v>45822</v>
      </c>
      <c r="B331" s="151" t="n">
        <v>149</v>
      </c>
      <c r="C331" s="151" t="n">
        <v>23848</v>
      </c>
      <c r="D331" s="151" t="n">
        <v>146</v>
      </c>
      <c r="E331" s="151" t="n">
        <v>22923</v>
      </c>
      <c r="F331" s="151" t="n">
        <v>24406</v>
      </c>
      <c r="G331" s="151" t="n">
        <v>4520</v>
      </c>
      <c r="H331" s="151" t="n">
        <v>25214</v>
      </c>
      <c r="I331" s="142" t="n">
        <v>146</v>
      </c>
      <c r="J331" s="143" t="n">
        <v>139</v>
      </c>
      <c r="K331" s="58" t="inlineStr">
        <is>
          <t>* Sensor cần gạt Row J  lệch vị trí ĐCK khắc phục, hđbt theo dõi thêm.</t>
        </is>
      </c>
      <c r="L331" s="60" t="inlineStr">
        <is>
          <t>* ĐCK kiểm tra các motor các line1,2,3,4,5,6.</t>
        </is>
      </c>
      <c r="M331" s="20" t="inlineStr">
        <is>
          <t>Ca ngày : Bình</t>
        </is>
      </c>
    </row>
    <row r="332" ht="60" customHeight="1" s="22">
      <c r="A332" s="246" t="n"/>
      <c r="B332" s="246" t="n"/>
      <c r="C332" s="246" t="n"/>
      <c r="D332" s="246" t="n"/>
      <c r="E332" s="246" t="n"/>
      <c r="F332" s="246" t="n"/>
      <c r="G332" s="246" t="n"/>
      <c r="H332" s="246" t="n"/>
      <c r="I332" s="246" t="n"/>
      <c r="J332" s="246" t="n"/>
      <c r="K332" s="60" t="inlineStr">
        <is>
          <t>* Không có.
* Băng chuyền đến A5 máy soi không hoạt động được, tạm ngưng
 khai thác. (từ ngày 18/5/2025).</t>
        </is>
      </c>
      <c r="L332" s="58" t="inlineStr">
        <is>
          <t>* ĐCK thay rulo chủ động L1-33. Thay tapi dóng móc mới.</t>
        </is>
      </c>
      <c r="M332" s="20" t="inlineStr">
        <is>
          <t>Ca đêm: Hùng</t>
        </is>
      </c>
    </row>
    <row r="333">
      <c r="A333" s="231" t="n">
        <v>45823</v>
      </c>
      <c r="B333" s="151" t="n">
        <v>141</v>
      </c>
      <c r="C333" s="151" t="n">
        <v>23651</v>
      </c>
      <c r="D333" s="151" t="n">
        <v>138</v>
      </c>
      <c r="E333" s="151" t="n">
        <v>23766</v>
      </c>
      <c r="F333" s="151" t="n">
        <v>24185</v>
      </c>
      <c r="G333" s="151" t="n">
        <v>3839</v>
      </c>
      <c r="H333" s="151" t="n">
        <v>25235</v>
      </c>
      <c r="I333" s="142" t="n">
        <v>146</v>
      </c>
      <c r="J333" s="143" t="n">
        <v>140</v>
      </c>
      <c r="K333" s="58" t="inlineStr">
        <is>
          <t>* Không có.</t>
        </is>
      </c>
      <c r="L333" s="60" t="inlineStr">
        <is>
          <t>* Không có.</t>
        </is>
      </c>
      <c r="M333" s="20" t="inlineStr">
        <is>
          <t>Ca ngày : Vũ</t>
        </is>
      </c>
    </row>
    <row r="334">
      <c r="A334" s="246" t="n"/>
      <c r="B334" s="246" t="n"/>
      <c r="C334" s="246" t="n"/>
      <c r="D334" s="246" t="n"/>
      <c r="E334" s="246" t="n"/>
      <c r="F334" s="246" t="n"/>
      <c r="G334" s="246" t="n"/>
      <c r="H334" s="246" t="n"/>
      <c r="I334" s="246" t="n"/>
      <c r="J334" s="246" t="n"/>
      <c r="K334" s="60" t="n"/>
      <c r="L334" s="58" t="n"/>
      <c r="M334" s="20" t="n"/>
    </row>
    <row r="335" ht="39.75" customHeight="1" s="22">
      <c r="A335" s="231" t="n">
        <v>45824</v>
      </c>
      <c r="B335" s="151" t="n">
        <v>139</v>
      </c>
      <c r="C335" s="151" t="n">
        <v>22141</v>
      </c>
      <c r="D335" s="151" t="n">
        <v>141</v>
      </c>
      <c r="E335" s="151" t="n">
        <v>23779</v>
      </c>
      <c r="F335" s="151" t="n">
        <v>22630</v>
      </c>
      <c r="G335" s="151" t="n">
        <v>3742</v>
      </c>
      <c r="H335" s="151" t="n">
        <v>25258</v>
      </c>
      <c r="I335" s="142" t="n">
        <v>145</v>
      </c>
      <c r="J335" s="143" t="n">
        <v>138</v>
      </c>
      <c r="K335" s="60" t="inlineStr">
        <is>
          <t xml:space="preserve">* Lá tapi 113 ( Oval đi 5), 19;128 (Oval đi 6 ) bung chốt gài. Đã báo ĐCK.
</t>
        </is>
      </c>
      <c r="L335" s="58" t="inlineStr">
        <is>
          <t>* ĐCK chỉnh và cắt belt IND4-03 (theo dõi thêm)</t>
        </is>
      </c>
      <c r="M335" s="20" t="inlineStr">
        <is>
          <t>Ca ngày: Tú</t>
        </is>
      </c>
    </row>
    <row r="336" ht="39.75" customHeight="1" s="22">
      <c r="A336" s="246" t="n"/>
      <c r="B336" s="246" t="n"/>
      <c r="C336" s="246" t="n"/>
      <c r="D336" s="246" t="n"/>
      <c r="E336" s="246" t="n"/>
      <c r="F336" s="246" t="n"/>
      <c r="G336" s="246" t="n"/>
      <c r="H336" s="246" t="n"/>
      <c r="I336" s="246" t="n"/>
      <c r="J336" s="246" t="n"/>
      <c r="K336" s="70" t="inlineStr">
        <is>
          <t>* Băng chuyền đến A5 máy soi không hoạt động được, tạm ngưng
 khai thác. (từ ngày 18/5/2025).</t>
        </is>
      </c>
      <c r="L336" s="232" t="inlineStr">
        <is>
          <t>* Không có.</t>
        </is>
      </c>
      <c r="M336" s="20" t="inlineStr">
        <is>
          <t>Ca đêm: Vũ</t>
        </is>
      </c>
    </row>
    <row r="337" ht="37.5" customHeight="1" s="22">
      <c r="A337" s="231" t="n">
        <v>45825</v>
      </c>
      <c r="B337" s="151" t="n">
        <v>142</v>
      </c>
      <c r="C337" s="151" t="n">
        <v>20970</v>
      </c>
      <c r="D337" s="151" t="n">
        <v>143</v>
      </c>
      <c r="E337" s="151" t="n">
        <v>23569</v>
      </c>
      <c r="F337" s="151" t="n">
        <v>21624</v>
      </c>
      <c r="G337" s="151" t="n">
        <v>3876</v>
      </c>
      <c r="H337" s="151" t="n">
        <v>25281</v>
      </c>
      <c r="I337" s="142" t="n">
        <v>142</v>
      </c>
      <c r="J337" s="143" t="n">
        <v>139</v>
      </c>
      <c r="K337" s="70" t="inlineStr">
        <is>
          <t>* Băng chuyền đến A5 máy soi không hoạt động được, tạm ngưng
 khai thác. (từ ngày 18/5/2025).</t>
        </is>
      </c>
      <c r="L337" s="58" t="inlineStr">
        <is>
          <t xml:space="preserve">*ĐCK bảo trì B/c Departure line 1,2,3,4 </t>
        </is>
      </c>
      <c r="M337" s="20" t="inlineStr">
        <is>
          <t>Ca ngày: Quân</t>
        </is>
      </c>
    </row>
    <row r="338" ht="56.25" customHeight="1" s="22">
      <c r="A338" s="246" t="n"/>
      <c r="B338" s="246" t="n"/>
      <c r="C338" s="246" t="n"/>
      <c r="D338" s="246" t="n"/>
      <c r="E338" s="246" t="n"/>
      <c r="F338" s="246" t="n"/>
      <c r="G338" s="246" t="n"/>
      <c r="H338" s="246" t="n"/>
      <c r="I338" s="246" t="n"/>
      <c r="J338" s="246" t="n"/>
      <c r="K338" s="60" t="inlineStr">
        <is>
          <t>* IND4 có tiếng kêu lớn (đã báo cơ khí). SM3-5 lỗi sensor,ĐCN đã kiểm tra thay sensor.</t>
        </is>
      </c>
      <c r="L338" s="60" t="inlineStr">
        <is>
          <t>*ĐCK bảo trì các ovan đi: ovan 1 (sửa lá 70, 113), ovan 2 (sửa lá 120, 143, 146), ovan 3 (sửa lá 26), ovan 4 (siết lá 136, 65), ovan 5 (sửa lá 57, 58, 79, 128), ovan 6 (sửa lá 19)</t>
        </is>
      </c>
      <c r="M338" s="20" t="inlineStr">
        <is>
          <t>Ca đêm: Bình</t>
        </is>
      </c>
    </row>
    <row r="339" ht="30" customHeight="1" s="22">
      <c r="A339" s="231" t="n">
        <v>45826</v>
      </c>
      <c r="B339" s="151" t="n">
        <v>148</v>
      </c>
      <c r="C339" s="151" t="n">
        <v>22392</v>
      </c>
      <c r="D339" s="151" t="n">
        <v>145</v>
      </c>
      <c r="E339" s="151" t="n">
        <v>23757</v>
      </c>
      <c r="F339" s="151" t="n">
        <v>23813</v>
      </c>
      <c r="G339" s="151" t="n">
        <v>4610</v>
      </c>
      <c r="H339" s="151" t="n">
        <v>25303</v>
      </c>
      <c r="I339" s="142" t="n">
        <v>147</v>
      </c>
      <c r="J339" s="143" t="n">
        <v>143</v>
      </c>
      <c r="K339" s="71" t="inlineStr">
        <is>
          <t>* Cắt belt số 3,4,12 của induction 4.</t>
        </is>
      </c>
      <c r="L339" s="58" t="inlineStr">
        <is>
          <t>* ĐCN vệ sinh tủ điện băng chuyền đến số 6,7.</t>
        </is>
      </c>
      <c r="M339" s="20" t="inlineStr">
        <is>
          <t>Ca ngày : Tuyến</t>
        </is>
      </c>
    </row>
    <row r="340" ht="63" customHeight="1" s="22">
      <c r="A340" s="246" t="n"/>
      <c r="B340" s="246" t="n"/>
      <c r="C340" s="246" t="n"/>
      <c r="D340" s="246" t="n"/>
      <c r="E340" s="246" t="n"/>
      <c r="F340" s="246" t="n"/>
      <c r="G340" s="246" t="n"/>
      <c r="H340" s="246" t="n"/>
      <c r="I340" s="246" t="n"/>
      <c r="J340" s="246" t="n"/>
      <c r="K340" s="60" t="inlineStr">
        <is>
          <t xml:space="preserve">* Không có.
* Băng chuyền đến A5 máy soi không hoạt động được, tạm ngưng khai thác. (từ ngày 18/5/2025).
</t>
        </is>
      </c>
      <c r="L340" s="60" t="inlineStr">
        <is>
          <t>* ĐCK thay tapi SM2-3.</t>
        </is>
      </c>
      <c r="M340" s="20" t="inlineStr">
        <is>
          <t>Ca đêm: Vũ</t>
        </is>
      </c>
    </row>
    <row r="341">
      <c r="A341" s="231" t="n">
        <v>45827</v>
      </c>
      <c r="B341" s="151" t="n">
        <v>141</v>
      </c>
      <c r="C341" s="151" t="n">
        <v>21958</v>
      </c>
      <c r="D341" s="151" t="n">
        <v>142</v>
      </c>
      <c r="E341" s="151" t="n">
        <v>24064</v>
      </c>
      <c r="F341" s="151" t="n">
        <v>23646</v>
      </c>
      <c r="G341" s="151" t="n">
        <v>4781</v>
      </c>
      <c r="H341" s="151" t="n">
        <v>25328</v>
      </c>
      <c r="I341" s="142" t="n">
        <v>146</v>
      </c>
      <c r="J341" s="143" t="n">
        <v>138</v>
      </c>
      <c r="K341" s="58" t="inlineStr">
        <is>
          <t>* Khay 140 gãy chân, disable.</t>
        </is>
      </c>
      <c r="L341" s="58" t="inlineStr">
        <is>
          <t>* ĐCK thay tapi, rulo bị động băng chuyền L4-44</t>
        </is>
      </c>
      <c r="M341" s="20" t="inlineStr">
        <is>
          <t>Ca ngày : Bình</t>
        </is>
      </c>
    </row>
    <row r="342" ht="56.25" customHeight="1" s="22">
      <c r="A342" s="246" t="n"/>
      <c r="B342" s="246" t="n"/>
      <c r="C342" s="246" t="n"/>
      <c r="D342" s="246" t="n"/>
      <c r="E342" s="246" t="n"/>
      <c r="F342" s="246" t="n"/>
      <c r="G342" s="246" t="n"/>
      <c r="H342" s="246" t="n"/>
      <c r="I342" s="246" t="n"/>
      <c r="J342" s="246" t="n"/>
      <c r="K342" s="60" t="inlineStr">
        <is>
          <t>* Không có.
* Băng chuyền đến A5 máy soi không hoạt động được, tạm ngưng
 khai thác. (từ ngày 18/5/2025).</t>
        </is>
      </c>
      <c r="L342" s="60" t="inlineStr">
        <is>
          <t>*ĐCK thay rulo chủ động AL7-04.</t>
        </is>
      </c>
      <c r="M342" s="20" t="inlineStr">
        <is>
          <t>Ca đêm: Tuyến</t>
        </is>
      </c>
    </row>
    <row r="343">
      <c r="A343" s="231" t="n">
        <v>45828</v>
      </c>
      <c r="B343" s="151" t="n">
        <v>141</v>
      </c>
      <c r="C343" s="151" t="n">
        <v>24404</v>
      </c>
      <c r="D343" s="151" t="n">
        <v>139</v>
      </c>
      <c r="E343" s="151" t="n">
        <v>24354</v>
      </c>
      <c r="F343" s="151" t="n">
        <v>25711</v>
      </c>
      <c r="G343" s="151" t="n">
        <v>4799</v>
      </c>
      <c r="H343" s="151" t="n">
        <v>25351</v>
      </c>
      <c r="I343" s="142" t="n">
        <v>142</v>
      </c>
      <c r="J343" s="143" t="n">
        <v>139</v>
      </c>
      <c r="K343" s="58" t="inlineStr">
        <is>
          <t>* Không có.</t>
        </is>
      </c>
      <c r="L343" s="58" t="inlineStr">
        <is>
          <t>* ĐCK + ĐCN kiểm tra backup L3+L4</t>
        </is>
      </c>
      <c r="M343" s="20" t="inlineStr">
        <is>
          <t>Ca ngày : Đồng</t>
        </is>
      </c>
    </row>
    <row r="344" ht="56.25" customHeight="1" s="22">
      <c r="A344" s="246" t="n"/>
      <c r="B344" s="246" t="n"/>
      <c r="C344" s="246" t="n"/>
      <c r="D344" s="246" t="n"/>
      <c r="E344" s="246" t="n"/>
      <c r="F344" s="246" t="n"/>
      <c r="G344" s="246" t="n"/>
      <c r="H344" s="246" t="n"/>
      <c r="I344" s="246" t="n"/>
      <c r="J344" s="246" t="n"/>
      <c r="K344" s="60" t="inlineStr">
        <is>
          <t>* Không có.
* Băng chuyền đến A5 máy soi không hoạt động được, tạm ngưng
 khai thác. (từ ngày 18/5/2025).</t>
        </is>
      </c>
      <c r="L344" s="60" t="inlineStr">
        <is>
          <t>* ĐCK thay motor hộp số bc L3-15</t>
        </is>
      </c>
      <c r="M344" s="20" t="inlineStr">
        <is>
          <t>Ca đêm: Bình</t>
        </is>
      </c>
    </row>
    <row r="345">
      <c r="A345" s="231" t="n">
        <v>45829</v>
      </c>
      <c r="B345" s="151" t="n">
        <v>145</v>
      </c>
      <c r="C345" s="151" t="n">
        <v>23685</v>
      </c>
      <c r="D345" s="151" t="n">
        <v>142</v>
      </c>
      <c r="E345" s="151" t="n">
        <v>23561</v>
      </c>
      <c r="F345" s="151" t="n">
        <v>25137</v>
      </c>
      <c r="G345" s="151" t="n">
        <v>4733</v>
      </c>
      <c r="H345" s="151" t="n">
        <v>25373</v>
      </c>
      <c r="I345" s="142" t="n">
        <v>143</v>
      </c>
      <c r="J345" s="143" t="n">
        <v>140</v>
      </c>
      <c r="K345" s="58" t="inlineStr">
        <is>
          <t>* Không có.</t>
        </is>
      </c>
      <c r="L345" s="58" t="inlineStr">
        <is>
          <t>* ĐCK + ĐCN kiểm tra backup L1+L2</t>
        </is>
      </c>
      <c r="M345" s="58" t="inlineStr">
        <is>
          <t>Ca ngày : Đồng</t>
        </is>
      </c>
    </row>
    <row r="346" ht="93.75" customHeight="1" s="22">
      <c r="A346" s="246" t="n"/>
      <c r="B346" s="246" t="n"/>
      <c r="C346" s="246" t="n"/>
      <c r="D346" s="246" t="n"/>
      <c r="E346" s="246" t="n"/>
      <c r="F346" s="246" t="n"/>
      <c r="G346" s="246" t="n"/>
      <c r="H346" s="246" t="n"/>
      <c r="I346" s="246" t="n"/>
      <c r="J346" s="246" t="n"/>
      <c r="K346" s="60" t="inlineStr">
        <is>
          <t>* Phần mềm Checkin iPort của VJ hoạt động không ổn định, đội CNTT và Arinc đã phối hợp kiểm tra khắc phục. (hệ thống IT Cảng HĐBT).
* Băng chuyền đến A5 máy soi không hoạt động được, tạm ngưng
 khai thác. (từ ngày 18/5/2025).</t>
        </is>
      </c>
      <c r="L346" s="60" t="inlineStr">
        <is>
          <t>* CK thay bánh xe Carousel A8.</t>
        </is>
      </c>
      <c r="M346" s="233" t="inlineStr">
        <is>
          <t>Ca đêm: Bình</t>
        </is>
      </c>
    </row>
    <row r="347" ht="30" customHeight="1" s="22">
      <c r="A347" s="231" t="n">
        <v>45830</v>
      </c>
      <c r="B347" s="151" t="n">
        <v>145</v>
      </c>
      <c r="C347" s="151" t="n">
        <v>24829</v>
      </c>
      <c r="D347" s="151" t="n">
        <v>142</v>
      </c>
      <c r="E347" s="151" t="n">
        <v>25096</v>
      </c>
      <c r="F347" s="151" t="n">
        <v>25885</v>
      </c>
      <c r="G347" s="151" t="n">
        <v>5068</v>
      </c>
      <c r="H347" s="151" t="n">
        <v>25395</v>
      </c>
      <c r="I347" s="142" t="n">
        <v>145</v>
      </c>
      <c r="J347" s="143" t="n">
        <v>137</v>
      </c>
      <c r="K347" s="58" t="inlineStr">
        <is>
          <t>* Không có.</t>
        </is>
      </c>
      <c r="L347" s="58" t="inlineStr">
        <is>
          <t xml:space="preserve">* Không có </t>
        </is>
      </c>
      <c r="M347" s="20" t="inlineStr">
        <is>
          <t xml:space="preserve">Ca ngày : Tú </t>
        </is>
      </c>
    </row>
    <row r="348" ht="57.75" customHeight="1" s="22">
      <c r="A348" s="246" t="n"/>
      <c r="B348" s="246" t="n"/>
      <c r="C348" s="246" t="n"/>
      <c r="D348" s="246" t="n"/>
      <c r="E348" s="246" t="n"/>
      <c r="F348" s="246" t="n"/>
      <c r="G348" s="246" t="n"/>
      <c r="H348" s="246" t="n"/>
      <c r="I348" s="246" t="n"/>
      <c r="J348" s="246" t="n"/>
      <c r="K348" s="60" t="inlineStr">
        <is>
          <t>* Không có.
* Băng chuyền đến A5 máy soi không hoạt động được, tạm ngưng
 khai thác. (từ ngày 18/5/2025).</t>
        </is>
      </c>
      <c r="L348" s="60" t="inlineStr">
        <is>
          <t>* ĐCK  thay phốt ngoài L1-10 , rulo đỡ L3-31 , 
* ĐCK  châm nhớt cho motor của Ovan đến số 8</t>
        </is>
      </c>
      <c r="M348" s="20" t="inlineStr">
        <is>
          <t>Ca đêm: Vũ</t>
        </is>
      </c>
    </row>
    <row r="349" ht="37.5" customHeight="1" s="22">
      <c r="A349" s="231" t="n">
        <v>45831</v>
      </c>
      <c r="B349" s="151" t="n">
        <v>139</v>
      </c>
      <c r="C349" s="151" t="n">
        <v>23872</v>
      </c>
      <c r="D349" s="151" t="n">
        <v>140</v>
      </c>
      <c r="E349" s="151" t="n">
        <v>24622</v>
      </c>
      <c r="F349" s="151" t="n">
        <v>24287</v>
      </c>
      <c r="G349" s="151" t="n">
        <v>4466</v>
      </c>
      <c r="H349" s="256" t="n">
        <v>25413</v>
      </c>
      <c r="I349" s="142" t="n">
        <v>144</v>
      </c>
      <c r="J349" s="143" t="n">
        <v>137</v>
      </c>
      <c r="K349" s="60" t="inlineStr">
        <is>
          <t xml:space="preserve">* Không có.
</t>
        </is>
      </c>
      <c r="L349" s="58" t="inlineStr">
        <is>
          <t xml:space="preserve">* Không có </t>
        </is>
      </c>
      <c r="M349" s="20" t="inlineStr">
        <is>
          <t>Ca ngày: Bình</t>
        </is>
      </c>
    </row>
    <row r="350" ht="138" customHeight="1" s="22">
      <c r="A350" s="246" t="n"/>
      <c r="B350" s="246" t="n"/>
      <c r="C350" s="246" t="n"/>
      <c r="D350" s="246" t="n"/>
      <c r="E350" s="246" t="n"/>
      <c r="F350" s="246" t="n"/>
      <c r="G350" s="246" t="n"/>
      <c r="H350" s="246" t="n"/>
      <c r="I350" s="246" t="n"/>
      <c r="J350" s="246" t="n"/>
      <c r="K350" s="60" t="inlineStr">
        <is>
          <t>* 1h30 chuyển hệ thống BHS sang chế độ Backup để bảo trì định kỳ 6 tháng theo tờ trình: "Số: 323/TTr-CHKQTTSN-KTG, ngày 18/6/2025".
* Băng chuyền đến A5 máy soi không hoạt động được, tạm ngưng
 khai thác. (từ ngày 18/5/2025).
* Rulo bc Row F có tiếng kêu, merg L3B-110 tapi bị cấn. Đã báo ĐCK.</t>
        </is>
      </c>
      <c r="L350" s="60" t="inlineStr">
        <is>
          <t>* Không có.</t>
        </is>
      </c>
      <c r="M350" s="20" t="inlineStr">
        <is>
          <t>Ca Đêm : Tú</t>
        </is>
      </c>
    </row>
    <row r="351" ht="107.25" customHeight="1" s="22">
      <c r="A351" s="231" t="n">
        <v>45832</v>
      </c>
      <c r="B351" s="151" t="n">
        <v>142</v>
      </c>
      <c r="C351" s="151" t="n">
        <v>21837</v>
      </c>
      <c r="D351" s="151" t="n">
        <v>148</v>
      </c>
      <c r="E351" s="151" t="n">
        <v>23390</v>
      </c>
      <c r="F351" s="151" t="n"/>
      <c r="G351" s="151" t="n"/>
      <c r="H351" s="256" t="n"/>
      <c r="I351" s="142" t="n">
        <v>147</v>
      </c>
      <c r="J351" s="143" t="n">
        <v>138</v>
      </c>
      <c r="K351" s="238" t="inlineStr">
        <is>
          <t xml:space="preserve">* Bảo trì hệ thống BHS định kỳ 6 tháng theo tờ trình: "Số: 323/TTr-CHKQTTSN-KTG, ngày 18/6/2025".
</t>
        </is>
      </c>
      <c r="L351" s="60" t="inlineStr">
        <is>
          <t xml:space="preserve">* ĐCK bảo trì:
- Sorter: siết, kiểm tra bánh xe chịu tải, bánh xe dẫn hướng và bánh xe đầu trâu.
- IND: thay dây belt 2,3,4,5,6,7,8,9,12,15 IND4; thay tapi và dây curoa băng chuyền số 3 IND4; thay belt 1,8,12,13 IND3.
</t>
        </is>
      </c>
      <c r="M351" s="20" t="inlineStr">
        <is>
          <t>Ca ngày: Bình</t>
        </is>
      </c>
    </row>
    <row r="352" ht="66" customHeight="1" s="22">
      <c r="A352" s="246" t="n"/>
      <c r="B352" s="246" t="n"/>
      <c r="C352" s="246" t="n"/>
      <c r="D352" s="246" t="n"/>
      <c r="E352" s="246" t="n"/>
      <c r="F352" s="246" t="n"/>
      <c r="G352" s="246" t="n"/>
      <c r="H352" s="246" t="n"/>
      <c r="I352" s="246" t="n"/>
      <c r="J352" s="246" t="n"/>
      <c r="K352" s="60" t="inlineStr">
        <is>
          <t>* Chuyển điện lúc 03h15.
* Băng chuyền đến A5 máy soi không hoạt động được, tạm ngưng
 khai thác. (từ ngày 18/5/2025).</t>
        </is>
      </c>
      <c r="L352" s="60" t="inlineStr">
        <is>
          <t>* ĐCK siết lá tapi số 1,8,55,79,111,250; thay bánh xe chịu tải ngoài 1,2,7,8,15; thay bánh xe chịu tải trong 1,2,7,8,12 của băng chuyền đến A3.</t>
        </is>
      </c>
      <c r="M352" s="20" t="inlineStr">
        <is>
          <t>Ca Đêm: Vũ</t>
        </is>
      </c>
    </row>
    <row r="353" ht="102.75" customHeight="1" s="22">
      <c r="A353" s="231" t="n">
        <v>45833</v>
      </c>
      <c r="B353" s="151" t="n">
        <v>144</v>
      </c>
      <c r="C353" s="151" t="n">
        <v>23714</v>
      </c>
      <c r="D353" s="151" t="n">
        <v>140</v>
      </c>
      <c r="E353" s="151" t="n">
        <v>24549</v>
      </c>
      <c r="F353" s="151" t="n"/>
      <c r="G353" s="151" t="n"/>
      <c r="H353" s="256" t="n"/>
      <c r="I353" s="142" t="n">
        <v>144</v>
      </c>
      <c r="J353" s="143" t="n">
        <v>139</v>
      </c>
      <c r="K353" s="238" t="inlineStr">
        <is>
          <t xml:space="preserve">* Bảo trì hệ thống BHS định kỳ 6 tháng theo tờ trình: "Số: 323/TTr-CHKQTTSN-KTG, ngày 18/6/2025".
</t>
        </is>
      </c>
      <c r="L353" s="60" t="inlineStr">
        <is>
          <t xml:space="preserve">* ĐCK bảo trì:
 -Sorter: siết, kiểm tra bánh xe chịu tải, bánh xe dẫn hướng và bánh xe đầu trâu.
- IND: thay dây belt 14, 19 IND2; thay d IND4; thay dây belt 5,9,12,17 IND1.
</t>
        </is>
      </c>
      <c r="M353" s="20" t="inlineStr">
        <is>
          <t>Ca ngày: Hùng</t>
        </is>
      </c>
    </row>
    <row r="354" ht="120.75" customHeight="1" s="22">
      <c r="A354" s="246" t="n"/>
      <c r="B354" s="246" t="n"/>
      <c r="C354" s="246" t="n"/>
      <c r="D354" s="246" t="n"/>
      <c r="E354" s="246" t="n"/>
      <c r="F354" s="246" t="n"/>
      <c r="G354" s="246" t="n"/>
      <c r="H354" s="246" t="n"/>
      <c r="I354" s="246" t="n"/>
      <c r="J354" s="246" t="n"/>
      <c r="K354" s="70" t="inlineStr">
        <is>
          <t>* Không có.
* Băng chuyền đến A5 máy soi không hoạt động được, tạm ngưng
 khai thác. (từ ngày 18/5/2025).</t>
        </is>
      </c>
      <c r="L354" s="60" t="inlineStr">
        <is>
          <t>* Dây nguồn của cảm biến Chute 01 bị gãy, ĐCN (Phúc) thay mới dây và cảm biến. 
* ĐCK thay belt có gân dẫn hướng số 8 ở băng chuyền IND1; thay belt có gân dẫn hướng số 4,8,9,18 băng chuyền IND6.</t>
        </is>
      </c>
      <c r="M354" s="20" t="inlineStr">
        <is>
          <t>Ca Đêm: Vũ</t>
        </is>
      </c>
    </row>
    <row r="355" ht="243.75" customHeight="1" s="22">
      <c r="A355" s="231" t="n">
        <v>45834</v>
      </c>
      <c r="B355" s="257" t="inlineStr">
        <is>
          <t>141</t>
        </is>
      </c>
      <c r="C355" s="151" t="n">
        <v>24124</v>
      </c>
      <c r="D355" s="257" t="inlineStr">
        <is>
          <t>140</t>
        </is>
      </c>
      <c r="E355" s="257" t="inlineStr">
        <is>
          <t>24787</t>
        </is>
      </c>
      <c r="F355" s="258" t="n"/>
      <c r="G355" s="151" t="n"/>
      <c r="H355" s="151" t="n"/>
      <c r="I355" s="142" t="n">
        <v>146</v>
      </c>
      <c r="J355" s="143" t="n">
        <v>140</v>
      </c>
      <c r="K355" s="238" t="inlineStr">
        <is>
          <t xml:space="preserve">* Bảo trì hệ thống BHS định kỳ 6 tháng theo tờ trình: "Số: 323/TTr-CHKQTTSN-KTG, ngày 18/6/2025".
* Băng chuyền đến A5 máy soi không hoạt động được, tạm ngưng
 khai thác. (từ ngày 18/5/2025).
</t>
        </is>
      </c>
      <c r="L355" s="60" t="inlineStr">
        <is>
          <t xml:space="preserve">* ĐCK bảo trì Sorter:
-Siết ốc đầu trâu khay 77, 78
-Thay mắt trâu khay 47, 48, 50, 51, 59, 77, 78, 79, 106,  123, 124
-Thay bánh xe chịu tải khay 47, 48, 50, 51, 59, 78
-Thay đầu trâu (mới) khay 91, 95, 133, 101, 102, 106/đầu trâu (cũ) khay 140
-Thay cart nhôm 29, 138
-Thay tấm nhựa (cũ) khay 104, 133
-Thay gối đỡ khay chữ C (mới) khay 50, 51, 59, 141
-Thay pát giữ đầu trâu khay 78, 95
</t>
        </is>
      </c>
      <c r="M355" s="20" t="inlineStr">
        <is>
          <t>Ca ngày: Bình</t>
        </is>
      </c>
    </row>
    <row r="356" ht="95.25" customHeight="1" s="22">
      <c r="A356" s="246" t="n"/>
      <c r="B356" s="246" t="n"/>
      <c r="C356" s="246" t="n"/>
      <c r="D356" s="246" t="n"/>
      <c r="E356" s="246" t="n"/>
      <c r="F356" s="246" t="n"/>
      <c r="G356" s="246" t="n"/>
      <c r="H356" s="246" t="n"/>
      <c r="I356" s="246" t="n"/>
      <c r="J356" s="246" t="n"/>
      <c r="K356" s="58" t="inlineStr">
        <is>
          <t xml:space="preserve">* 2h15 chạy test ktra sorter - 2h40 chuyển lại back - up. </t>
        </is>
      </c>
      <c r="L356" s="60" t="inlineStr">
        <is>
          <t>* Không có</t>
        </is>
      </c>
      <c r="M356" s="20" t="inlineStr">
        <is>
          <t>Ca đêm : Tú</t>
        </is>
      </c>
    </row>
    <row r="357" ht="281.25" customHeight="1" s="22">
      <c r="A357" s="231" t="n">
        <v>45835</v>
      </c>
      <c r="B357" s="257" t="inlineStr">
        <is>
          <t>141</t>
        </is>
      </c>
      <c r="C357" s="151" t="n">
        <v>25043</v>
      </c>
      <c r="D357" s="257" t="inlineStr">
        <is>
          <t>141</t>
        </is>
      </c>
      <c r="E357" s="257" t="inlineStr">
        <is>
          <t>26339</t>
        </is>
      </c>
      <c r="F357" s="258" t="n"/>
      <c r="G357" s="151" t="n"/>
      <c r="H357" s="151" t="n"/>
      <c r="I357" s="142" t="n">
        <v>150</v>
      </c>
      <c r="J357" s="143" t="n">
        <v>140</v>
      </c>
      <c r="K357" s="238" t="inlineStr">
        <is>
          <t xml:space="preserve">* Bảo trì hệ thống BHS định kỳ 6 tháng theo tờ trình: "Số: 323/TTr-CHKQTTSN-KTG, ngày 18/6/2025".
* Băng chuyền đến A5 máy soi không hoạt động được, tạm ngưng
 khai thác. (từ ngày 18/5/2025).
</t>
        </is>
      </c>
      <c r="L357" s="60" t="inlineStr">
        <is>
          <t xml:space="preserve">* ĐCK bảo trì Sorter:
-Siết ốc đầu trâu khay 77, 78
-Thay mắt trâu khay 87, 88, 92, 96, 104
-Thay bánh xe chịu tải khay 87
-Thay đầu trâu (mới) khay 109/đầu trâu (cũ) khay 147
-Thay cart nhôm 95, 91, 107, 103
-Thay tấm nhựa (cũ) khay 104, 133/tấm nhựa (mới) khay 128, 145
-Thay gối đỡ khay chữ C (mới) khay 50, 51, 59, 141
-Thay pát giữ đầu trâu khay 78, 95
-Thay tấm đỡ chữ Y khay 70
-Thay tấm nhựa mặt cười khay 128
-Thay bánh xe kích lật khay 29, 128, 136, 137, 141
-Thay bánh xe dẫn hướng khay 117
</t>
        </is>
      </c>
      <c r="M357" s="20" t="inlineStr">
        <is>
          <t>Ca ngày: Đồng</t>
        </is>
      </c>
    </row>
    <row r="358" ht="28.5" customHeight="1" s="22">
      <c r="A358" s="246" t="n"/>
      <c r="B358" s="246" t="n"/>
      <c r="C358" s="246" t="n"/>
      <c r="D358" s="246" t="n"/>
      <c r="E358" s="246" t="n"/>
      <c r="F358" s="246" t="n"/>
      <c r="G358" s="246" t="n"/>
      <c r="H358" s="246" t="n"/>
      <c r="I358" s="246" t="n"/>
      <c r="J358" s="246" t="n"/>
      <c r="K358" s="58" t="inlineStr">
        <is>
          <t>2h chạy lại sorter, Hđbt.</t>
        </is>
      </c>
      <c r="L358" s="58" t="inlineStr">
        <is>
          <t xml:space="preserve">* Không có </t>
        </is>
      </c>
      <c r="M358" s="20" t="inlineStr">
        <is>
          <t>Ca đêm : Bình</t>
        </is>
      </c>
    </row>
    <row r="359" ht="75" customHeight="1" s="22">
      <c r="A359" s="231" t="n">
        <v>45836</v>
      </c>
      <c r="B359" s="257" t="inlineStr">
        <is>
          <t>144</t>
        </is>
      </c>
      <c r="C359" s="151" t="n">
        <v>25868</v>
      </c>
      <c r="D359" s="257" t="inlineStr">
        <is>
          <t>140</t>
        </is>
      </c>
      <c r="E359" s="257" t="inlineStr">
        <is>
          <t>25212</t>
        </is>
      </c>
      <c r="F359" s="258" t="n">
        <v>27393</v>
      </c>
      <c r="G359" s="151" t="n">
        <v>4699</v>
      </c>
      <c r="H359" s="151" t="n">
        <v>25442</v>
      </c>
      <c r="I359" s="142" t="n">
        <v>146</v>
      </c>
      <c r="J359" s="143" t="n">
        <v>137</v>
      </c>
      <c r="K359" s="238" t="inlineStr">
        <is>
          <t xml:space="preserve">*Disable khay 59, 99 (missing acivation wheel)
* Băng chuyền đến A5 máy soi không hoạt động được, tạm ngưng
 khai thác. (từ ngày 18/5/2025).
</t>
        </is>
      </c>
      <c r="L359" s="60" t="inlineStr">
        <is>
          <t>* ĐCK kiểm tra các đoạn bc backup 
* ĐCN thay ASI L6A-03</t>
        </is>
      </c>
      <c r="M359" s="20" t="inlineStr">
        <is>
          <t>Ca ngày: Đồng</t>
        </is>
      </c>
    </row>
    <row r="360" ht="57" customHeight="1" s="22">
      <c r="A360" s="246" t="n"/>
      <c r="B360" s="246" t="n"/>
      <c r="C360" s="246" t="n"/>
      <c r="D360" s="246" t="n"/>
      <c r="E360" s="246" t="n"/>
      <c r="F360" s="246" t="n"/>
      <c r="G360" s="246" t="n"/>
      <c r="H360" s="246" t="n"/>
      <c r="I360" s="246" t="n"/>
      <c r="J360" s="246" t="n"/>
      <c r="K360" s="60" t="inlineStr">
        <is>
          <t>* Khay 58 hay báo mất bánh xe. Disable
* Khay 115 bị vênh .disable</t>
        </is>
      </c>
      <c r="L360" s="58" t="inlineStr">
        <is>
          <t xml:space="preserve">*ĐCK thay rulo chủ động  L3-8. </t>
        </is>
      </c>
      <c r="M360" s="20" t="inlineStr">
        <is>
          <t>Ca đêm : Tuyến</t>
        </is>
      </c>
    </row>
    <row r="361" ht="56.25" customHeight="1" s="22">
      <c r="A361" s="231" t="n">
        <v>45837</v>
      </c>
      <c r="B361" s="257" t="inlineStr">
        <is>
          <t>143</t>
        </is>
      </c>
      <c r="C361" s="257" t="inlineStr">
        <is>
          <t>25476</t>
        </is>
      </c>
      <c r="D361" s="257" t="inlineStr">
        <is>
          <t>141</t>
        </is>
      </c>
      <c r="E361" s="257" t="inlineStr">
        <is>
          <t>24690</t>
        </is>
      </c>
      <c r="F361" s="258" t="n">
        <v>26878</v>
      </c>
      <c r="G361" s="151" t="n">
        <v>4868</v>
      </c>
      <c r="H361" s="151" t="n">
        <v>25464</v>
      </c>
      <c r="I361" s="142" t="n">
        <v>143</v>
      </c>
      <c r="J361" s="143" t="n">
        <v>139</v>
      </c>
      <c r="K361" s="60" t="inlineStr">
        <is>
          <t>* Không có.
* Băng chuyền đến A5 máy soi không hoạt động được, tạm ngưng
 khai thác. (từ ngày 18/5/2025).</t>
        </is>
      </c>
      <c r="L361" s="58" t="inlineStr">
        <is>
          <t xml:space="preserve">* Không có </t>
        </is>
      </c>
      <c r="M361" s="20" t="inlineStr">
        <is>
          <t>Ca ngày: Quang</t>
        </is>
      </c>
    </row>
    <row r="362" ht="36.75" customHeight="1" s="22">
      <c r="A362" s="246" t="n"/>
      <c r="B362" s="246" t="n"/>
      <c r="C362" s="246" t="n"/>
      <c r="D362" s="246" t="n"/>
      <c r="E362" s="246" t="n"/>
      <c r="F362" s="246" t="n"/>
      <c r="G362" s="246" t="n"/>
      <c r="H362" s="246" t="n"/>
      <c r="I362" s="246" t="n"/>
      <c r="J362" s="246" t="n"/>
      <c r="K362" s="60" t="inlineStr">
        <is>
          <t>* Không có.</t>
        </is>
      </c>
      <c r="L362" s="60" t="inlineStr">
        <is>
          <t>* Không có.</t>
        </is>
      </c>
      <c r="M362" s="60" t="inlineStr">
        <is>
          <t>Ca đêm : Hùng</t>
        </is>
      </c>
    </row>
    <row r="363" ht="56.25" customHeight="1" s="22">
      <c r="A363" s="231" t="n">
        <v>45838</v>
      </c>
      <c r="B363" s="257" t="inlineStr">
        <is>
          <t>143</t>
        </is>
      </c>
      <c r="C363" s="257" t="inlineStr">
        <is>
          <t>25262</t>
        </is>
      </c>
      <c r="D363" s="257" t="inlineStr">
        <is>
          <t>142</t>
        </is>
      </c>
      <c r="E363" s="257" t="inlineStr">
        <is>
          <t>24820</t>
        </is>
      </c>
      <c r="F363" s="258" t="n">
        <v>25886</v>
      </c>
      <c r="G363" s="151" t="n">
        <v>4555</v>
      </c>
      <c r="H363" s="151" t="n">
        <v>25488</v>
      </c>
      <c r="I363" s="142" t="n">
        <v>145</v>
      </c>
      <c r="J363" s="143" t="n">
        <v>141</v>
      </c>
      <c r="K363" s="60" t="inlineStr">
        <is>
          <t>* Không có.
* Băng chuyền đến A5 máy soi không hoạt động được, tạm ngưng
 khai thác. (từ ngày 18/5/2025).</t>
        </is>
      </c>
      <c r="L363" s="58" t="inlineStr">
        <is>
          <t>*ĐCK kiểm tra b/c đến số 1-6.</t>
        </is>
      </c>
      <c r="M363" s="20" t="inlineStr">
        <is>
          <t>Ca ngày: Bình</t>
        </is>
      </c>
    </row>
    <row r="364" ht="26.25" customHeight="1" s="22">
      <c r="A364" s="246" t="n"/>
      <c r="B364" s="246" t="n"/>
      <c r="C364" s="246" t="n"/>
      <c r="D364" s="246" t="n"/>
      <c r="E364" s="246" t="n"/>
      <c r="F364" s="246" t="n"/>
      <c r="G364" s="246" t="n"/>
      <c r="H364" s="246" t="n"/>
      <c r="I364" s="246" t="n"/>
      <c r="J364" s="246" t="n"/>
      <c r="K364" s="60" t="inlineStr">
        <is>
          <t>* Không có.</t>
        </is>
      </c>
      <c r="L364" s="60" t="inlineStr">
        <is>
          <t xml:space="preserve">* ĐCK bảo trì ovan đến số 7 </t>
        </is>
      </c>
      <c r="M364" s="60" t="inlineStr">
        <is>
          <t xml:space="preserve">ca đêm:Hoàng </t>
        </is>
      </c>
    </row>
    <row r="365" ht="104.25" customHeight="1" s="22">
      <c r="A365" s="231" t="n">
        <v>45839</v>
      </c>
      <c r="B365" s="151" t="n">
        <v>139</v>
      </c>
      <c r="C365" s="151" t="n">
        <v>22948</v>
      </c>
      <c r="D365" s="151" t="n">
        <v>140</v>
      </c>
      <c r="E365" s="151" t="n">
        <v>23332</v>
      </c>
      <c r="F365" s="151" t="n">
        <v>23234</v>
      </c>
      <c r="G365" s="151" t="n">
        <v>3865</v>
      </c>
      <c r="H365" s="151" t="n">
        <v>25511</v>
      </c>
      <c r="I365" s="142" t="n">
        <v>146</v>
      </c>
      <c r="J365" s="143" t="n">
        <v>138</v>
      </c>
      <c r="K365" s="60" t="inlineStr">
        <is>
          <t>* Cân I1 báo lệch kí (theo dõi thêm).
* Băng chuyền đến A5 máy soi không hoạt động được, tạm ngưng
 khai thác. (từ ngày 18/5/2025).
* Băng chuyền đến A4 máy soi không hoạt động, tạm ngừng khai thác. (đã báo hải quan ngày 1/7/2025).</t>
        </is>
      </c>
      <c r="L365" s="58" t="inlineStr">
        <is>
          <t>* ĐCK thay hộp box cân A6</t>
        </is>
      </c>
      <c r="M365" s="20" t="inlineStr">
        <is>
          <t>Ca ngày: Bình</t>
        </is>
      </c>
    </row>
    <row r="366" ht="101.25" customHeight="1" s="22">
      <c r="A366" s="246" t="n"/>
      <c r="B366" s="246" t="n"/>
      <c r="C366" s="246" t="n"/>
      <c r="D366" s="246" t="n"/>
      <c r="E366" s="246" t="n"/>
      <c r="F366" s="246" t="n"/>
      <c r="G366" s="246" t="n"/>
      <c r="H366" s="246" t="n"/>
      <c r="I366" s="246" t="n"/>
      <c r="J366" s="246" t="n"/>
      <c r="K366" s="60" t="inlineStr">
        <is>
          <t>* Khay 14 bị vênh =&gt; Tạm Disabled.
* Băng chuyền đến A5 máy soi không hoạt động được, tạm ngưng
 khai thác. (từ ngày 18/5/2025).
* Băng chuyền đến A4 máy soi không hoạt động, tạm ngừng khai thác. (đã báo hải quan ngày 1/7/2025).</t>
        </is>
      </c>
      <c r="L366" s="60" t="inlineStr">
        <is>
          <t xml:space="preserve">* CK (Phúc) thay màn hình chính quầy cân G7.
* CK thay phốt trong L1-42, phốt ngoài SM4-4. Thay ống lót 83,76,87,94,95,113 của Ovan số 5
</t>
        </is>
      </c>
      <c r="M366" s="233" t="inlineStr">
        <is>
          <t>Ca đêm: Vũ</t>
        </is>
      </c>
    </row>
    <row r="367" ht="65.25" customHeight="1" s="22">
      <c r="A367" s="231" t="n">
        <v>45840</v>
      </c>
      <c r="B367" s="151" t="n">
        <v>145</v>
      </c>
      <c r="C367" s="151" t="n">
        <v>23667</v>
      </c>
      <c r="D367" s="151" t="n">
        <v>139</v>
      </c>
      <c r="E367" s="151" t="n">
        <v>23899</v>
      </c>
      <c r="F367" s="151" t="n">
        <v>23971</v>
      </c>
      <c r="G367" s="151" t="n">
        <v>4213</v>
      </c>
      <c r="H367" s="151" t="n">
        <v>25535</v>
      </c>
      <c r="I367" s="142" t="n">
        <v>144</v>
      </c>
      <c r="J367" s="143" t="n">
        <v>137</v>
      </c>
      <c r="K367" s="60" t="inlineStr">
        <is>
          <t xml:space="preserve">* Không có.
</t>
        </is>
      </c>
      <c r="L367" s="60" t="inlineStr">
        <is>
          <t>* ĐCK chỉnh cần gạt L6 khu vực checkin, kiểm tra mô tơ, đổi cân j10 -&gt; I1, kiểm tra 5 ovan đi
* ĐCN bảo trì ovan đi số 2, 5</t>
        </is>
      </c>
      <c r="M367" s="20" t="inlineStr">
        <is>
          <t>Ca ngày: Đồng</t>
        </is>
      </c>
    </row>
    <row r="368" ht="96.75" customHeight="1" s="22">
      <c r="A368" s="246" t="n"/>
      <c r="B368" s="246" t="n"/>
      <c r="C368" s="246" t="n"/>
      <c r="D368" s="246" t="n"/>
      <c r="E368" s="246" t="n"/>
      <c r="F368" s="246" t="n"/>
      <c r="G368" s="246" t="n"/>
      <c r="H368" s="246" t="n"/>
      <c r="I368" s="246" t="n"/>
      <c r="J368" s="246" t="n"/>
      <c r="K368" s="60" t="inlineStr">
        <is>
          <t>* Không có 
* Băng chuyền đến A5 máy soi không hoạt động được, tạm ngưng
 khai thác. (từ ngày 18/5/2025).
* Băng chuyền đến A4 máy soi không hoạt động, tạm ngừng khai thác. (đã báo hải quan ngày 1/7/2025).</t>
        </is>
      </c>
      <c r="L368" s="60" t="inlineStr">
        <is>
          <t xml:space="preserve">* ĐCK ( Phúc ) thay Junction box + loadcell cho cân J10.hđbt
* Sửa các lá tappi Ovan đi QT:
- Ovan số 2: gia cố lá tappi 144 và 143 
- Ovan số 5: gia cố lá tappi 58, thay lá tappi 79,113 
- Ovan số 6: gia cố lá tappi 56, thay lá tappi 68 </t>
        </is>
      </c>
      <c r="M368" s="233" t="inlineStr">
        <is>
          <t>Ca đêm : Tú</t>
        </is>
      </c>
    </row>
    <row r="369" ht="58.5" customHeight="1" s="22">
      <c r="A369" s="231" t="n">
        <v>45841</v>
      </c>
      <c r="B369" s="151" t="n">
        <v>140</v>
      </c>
      <c r="C369" s="151" t="n">
        <v>22471</v>
      </c>
      <c r="D369" s="151" t="n">
        <v>142</v>
      </c>
      <c r="E369" s="151" t="n">
        <v>24966</v>
      </c>
      <c r="F369" s="151" t="n">
        <v>22175</v>
      </c>
      <c r="G369" s="151" t="n">
        <v>3213</v>
      </c>
      <c r="H369" s="151" t="n"/>
      <c r="I369" s="142" t="n">
        <v>143</v>
      </c>
      <c r="J369" s="143" t="n">
        <v>136</v>
      </c>
      <c r="K369" s="60" t="n"/>
      <c r="L369" s="60" t="inlineStr">
        <is>
          <t xml:space="preserve">* ĐCN bảo trì ovan đi số 1,3.
* CK (Việt, Thắng) kiểm tra thông số motor BHS.
* CK đóng móc tapi L3-15.
</t>
        </is>
      </c>
      <c r="M369" s="20" t="inlineStr">
        <is>
          <t>Ca ngày: Vũ</t>
        </is>
      </c>
    </row>
    <row r="370" ht="101.25" customHeight="1" s="22">
      <c r="A370" s="246" t="n"/>
      <c r="B370" s="246" t="n"/>
      <c r="C370" s="246" t="n"/>
      <c r="D370" s="246" t="n"/>
      <c r="E370" s="246" t="n"/>
      <c r="F370" s="246" t="n"/>
      <c r="G370" s="246" t="n"/>
      <c r="H370" s="246" t="n"/>
      <c r="I370" s="246" t="n"/>
      <c r="J370" s="246" t="n"/>
      <c r="K370" s="60" t="inlineStr">
        <is>
          <t xml:space="preserve">* Disable khay 117 (không kích lật được)
* Băng chuyền đến A5 máy soi không hoạt động được, tạm ngưng
 khai thác. (từ ngày 18/5/2025).
* Băng chuyền đến A4 máy soi không hoạt động, tạm ngừng khai thác. (đã báo hải quan ngày 1/7/2025).
</t>
        </is>
      </c>
      <c r="L370" s="60" t="inlineStr">
        <is>
          <t>* ĐCK thay rulo chỉnh + bạc đạn b/c L4-45 và L5-13</t>
        </is>
      </c>
      <c r="M370" s="233" t="inlineStr">
        <is>
          <t>Ca đêm: Đồng</t>
        </is>
      </c>
    </row>
    <row r="371" ht="68.25" customHeight="1" s="22">
      <c r="A371" s="231" t="n">
        <v>45842</v>
      </c>
      <c r="B371" s="151" t="n">
        <v>144</v>
      </c>
      <c r="C371" s="151" t="n">
        <v>23851</v>
      </c>
      <c r="D371" s="151" t="n">
        <v>141</v>
      </c>
      <c r="E371" s="151" t="n">
        <v>25840</v>
      </c>
      <c r="F371" s="151" t="n">
        <v>22919</v>
      </c>
      <c r="G371" s="151" t="n">
        <v>3676</v>
      </c>
      <c r="H371" s="151" t="n">
        <v>25583</v>
      </c>
      <c r="I371" s="142" t="n">
        <v>145</v>
      </c>
      <c r="J371" s="143" t="n">
        <v>137</v>
      </c>
      <c r="K371" s="60" t="inlineStr">
        <is>
          <t xml:space="preserve">* Không có
</t>
        </is>
      </c>
      <c r="L371" s="60" t="inlineStr">
        <is>
          <t xml:space="preserve">* ĐCN bảo trì ovan đi số 4 và Departure L6.
* ĐCK ktra bc khu vực chekin.
* ĐCK ktra đo thông số motor L1 đến L6.
</t>
        </is>
      </c>
      <c r="M371" s="20" t="inlineStr">
        <is>
          <t>Ca ngày : Hùng</t>
        </is>
      </c>
    </row>
    <row r="372" ht="97.5" customHeight="1" s="22">
      <c r="A372" s="246" t="n"/>
      <c r="B372" s="246" t="n"/>
      <c r="C372" s="246" t="n"/>
      <c r="D372" s="246" t="n"/>
      <c r="E372" s="246" t="n"/>
      <c r="F372" s="246" t="n"/>
      <c r="G372" s="246" t="n"/>
      <c r="H372" s="246" t="n"/>
      <c r="I372" s="246" t="n"/>
      <c r="J372" s="246" t="n"/>
      <c r="K372" s="243" t="inlineStr">
        <is>
          <t>* Không có.
* Băng chuyền đến A5 máy soi không hoạt động, tạm ngưng khai thác. (từ ngày 18/5/2025).
* Băng chuyền đến A4 máy soi không hoạt động, tạm ngừng khai thác. (từ ngày 1/7/2025).</t>
        </is>
      </c>
      <c r="L372" s="60" t="inlineStr">
        <is>
          <t>* CK thay Rulo chủ động và bị động L1-10.</t>
        </is>
      </c>
      <c r="M372" s="20" t="inlineStr">
        <is>
          <t>Ca Đêm: Vũ</t>
        </is>
      </c>
    </row>
    <row r="373" ht="107.25" customHeight="1" s="22">
      <c r="A373" s="244" t="n">
        <v>45843</v>
      </c>
      <c r="B373" s="151" t="n">
        <v>142</v>
      </c>
      <c r="C373" s="151" t="n">
        <v>23283</v>
      </c>
      <c r="D373" s="151" t="n">
        <v>141</v>
      </c>
      <c r="E373" s="151" t="n">
        <v>25586</v>
      </c>
      <c r="F373" s="151" t="n">
        <v>22184</v>
      </c>
      <c r="G373" s="151" t="n">
        <v>3488</v>
      </c>
      <c r="H373" s="151" t="n">
        <v>25605</v>
      </c>
      <c r="I373" s="142" t="n">
        <v>134</v>
      </c>
      <c r="J373" s="143" t="n">
        <v>137</v>
      </c>
      <c r="K373" s="60" t="inlineStr">
        <is>
          <t xml:space="preserve">* Không có
</t>
        </is>
      </c>
      <c r="L373" s="60" t="inlineStr">
        <is>
          <t xml:space="preserve">* ĐCK ktra đo thông số motor L3, 4, 5, siết lại dây hãm quầy cân A5.
* ĐĐT xử lý máy soi b/c đến A4 thiết bị hoạt động bình thường.
</t>
        </is>
      </c>
      <c r="M373" s="20" t="inlineStr">
        <is>
          <t>Ca ngày : Đồng</t>
        </is>
      </c>
    </row>
    <row r="374" ht="77.25" customHeight="1" s="22">
      <c r="A374" s="245" t="n"/>
      <c r="B374" s="246" t="n"/>
      <c r="C374" s="246" t="n"/>
      <c r="D374" s="246" t="n"/>
      <c r="E374" s="246" t="n"/>
      <c r="F374" s="246" t="n"/>
      <c r="G374" s="246" t="n"/>
      <c r="H374" s="246" t="n"/>
      <c r="I374" s="246" t="n"/>
      <c r="J374" s="246" t="n"/>
      <c r="K374" s="227" t="inlineStr">
        <is>
          <t>* Khay 68 mất bánh xe - đã disable.
* Băng chuyền đến A5 máy soi không hoạt động, tạm ngưng khai thác. (từ ngày 18/5/2025).</t>
        </is>
      </c>
      <c r="L374" s="60" t="inlineStr">
        <is>
          <t>* ĐCK ( Doanh ) thay rulo căng cho bc L4-48 ; và thay bạc 
đạn cho đoạn L5-39. HĐBT</t>
        </is>
      </c>
      <c r="M374" s="20" t="inlineStr">
        <is>
          <t>Ca Đêm: Tú</t>
        </is>
      </c>
    </row>
    <row r="375" ht="36.75" customHeight="1" s="22">
      <c r="A375" s="231" t="n">
        <v>45844</v>
      </c>
      <c r="B375" s="151" t="n">
        <v>140</v>
      </c>
      <c r="C375" s="151" t="n">
        <v>23141</v>
      </c>
      <c r="D375" s="151" t="n">
        <v>138</v>
      </c>
      <c r="E375" s="151" t="n">
        <v>25575</v>
      </c>
      <c r="F375" s="151" t="n">
        <v>22686</v>
      </c>
      <c r="G375" s="151" t="n">
        <v>3707</v>
      </c>
      <c r="H375" s="151" t="n">
        <v>25630</v>
      </c>
      <c r="I375" s="142" t="n">
        <v>139</v>
      </c>
      <c r="J375" s="143" t="n">
        <v>134</v>
      </c>
      <c r="K375" s="58" t="inlineStr">
        <is>
          <t>* Không có.</t>
        </is>
      </c>
      <c r="L375" s="58" t="inlineStr">
        <is>
          <t>* CK (Công) thay rulo đỡ L3-31.</t>
        </is>
      </c>
      <c r="M375" s="20" t="inlineStr">
        <is>
          <t>Ca ngày: Vũ</t>
        </is>
      </c>
    </row>
    <row r="376" ht="48.75" customHeight="1" s="22">
      <c r="A376" s="246" t="n"/>
      <c r="B376" s="246" t="n"/>
      <c r="C376" s="246" t="n"/>
      <c r="D376" s="246" t="n"/>
      <c r="E376" s="246" t="n"/>
      <c r="F376" s="246" t="n"/>
      <c r="G376" s="246" t="n"/>
      <c r="H376" s="246" t="n"/>
      <c r="I376" s="246" t="n"/>
      <c r="J376" s="246" t="n"/>
      <c r="K376" s="70" t="inlineStr">
        <is>
          <t xml:space="preserve">* Băng chuyền đến A5 máy soi không hoạt động, tạm ngưng khai thác. (từ ngày 18/5/2025).
</t>
        </is>
      </c>
      <c r="L376" s="58" t="inlineStr">
        <is>
          <t>* Không có.</t>
        </is>
      </c>
      <c r="M376" s="20" t="inlineStr">
        <is>
          <t>Ca đêm: Bình</t>
        </is>
      </c>
    </row>
    <row r="377">
      <c r="A377" s="231" t="n">
        <v>45845</v>
      </c>
      <c r="B377" s="151" t="n"/>
      <c r="C377" s="151" t="n"/>
      <c r="D377" s="151" t="n"/>
      <c r="E377" s="151" t="n"/>
      <c r="F377" s="151" t="n"/>
      <c r="G377" s="151" t="n"/>
      <c r="H377" s="151" t="n"/>
      <c r="I377" s="142" t="n"/>
      <c r="J377" s="143" t="n"/>
      <c r="K377" s="58" t="inlineStr">
        <is>
          <t xml:space="preserve">* Không có </t>
        </is>
      </c>
      <c r="L377" s="58" t="inlineStr">
        <is>
          <t>* ĐCN ( KHÔI) bảo trì tủ điện line 3-4</t>
        </is>
      </c>
      <c r="M377" s="58" t="inlineStr">
        <is>
          <t xml:space="preserve">Ca ngày : Hùng </t>
        </is>
      </c>
    </row>
    <row r="378">
      <c r="A378" s="246" t="n"/>
      <c r="B378" s="246" t="n"/>
      <c r="C378" s="246" t="n"/>
      <c r="D378" s="246" t="n"/>
      <c r="E378" s="246" t="n"/>
      <c r="F378" s="246" t="n"/>
      <c r="G378" s="246" t="n"/>
      <c r="H378" s="246" t="n"/>
      <c r="I378" s="246" t="n"/>
      <c r="J378" s="246" t="n"/>
      <c r="K378" s="60" t="n"/>
      <c r="L378" s="60" t="n"/>
      <c r="M378" s="60" t="n"/>
    </row>
    <row r="379">
      <c r="A379" s="231" t="n"/>
      <c r="B379" s="151" t="n"/>
      <c r="C379" s="151" t="n"/>
      <c r="D379" s="151" t="n"/>
      <c r="E379" s="151" t="n"/>
      <c r="F379" s="151" t="n"/>
      <c r="G379" s="151" t="n"/>
      <c r="H379" s="151" t="n"/>
      <c r="I379" s="142" t="n"/>
      <c r="J379" s="143" t="n"/>
      <c r="K379" s="58" t="n"/>
      <c r="L379" s="58" t="n"/>
      <c r="M379" s="20" t="n"/>
    </row>
    <row r="380">
      <c r="A380" s="246" t="n"/>
      <c r="B380" s="246" t="n"/>
      <c r="C380" s="246" t="n"/>
      <c r="D380" s="246" t="n"/>
      <c r="E380" s="246" t="n"/>
      <c r="F380" s="246" t="n"/>
      <c r="G380" s="246" t="n"/>
      <c r="H380" s="246" t="n"/>
      <c r="I380" s="246" t="n"/>
      <c r="J380" s="246" t="n"/>
      <c r="K380" s="58" t="n"/>
      <c r="L380" s="60" t="n"/>
      <c r="M380" s="20" t="n"/>
    </row>
    <row r="381">
      <c r="A381" s="231" t="n"/>
      <c r="B381" s="151" t="n"/>
      <c r="C381" s="151" t="n"/>
      <c r="D381" s="151" t="n"/>
      <c r="E381" s="151" t="n"/>
      <c r="F381" s="151" t="n"/>
      <c r="G381" s="151" t="n"/>
      <c r="H381" s="151" t="n"/>
      <c r="I381" s="142" t="n"/>
      <c r="J381" s="143" t="n"/>
      <c r="K381" s="58" t="n"/>
      <c r="L381" s="58" t="n"/>
      <c r="M381" s="58" t="n"/>
    </row>
    <row r="382">
      <c r="A382" s="246" t="n"/>
      <c r="B382" s="246" t="n"/>
      <c r="C382" s="246" t="n"/>
      <c r="D382" s="246" t="n"/>
      <c r="E382" s="246" t="n"/>
      <c r="F382" s="246" t="n"/>
      <c r="G382" s="246" t="n"/>
      <c r="H382" s="246" t="n"/>
      <c r="I382" s="246" t="n"/>
      <c r="J382" s="246" t="n"/>
      <c r="K382" s="60" t="n"/>
      <c r="L382" s="60" t="n"/>
      <c r="M382" s="60" t="n"/>
    </row>
    <row r="383">
      <c r="A383" s="231" t="n"/>
      <c r="B383" s="151" t="n"/>
      <c r="C383" s="151" t="n"/>
      <c r="D383" s="151" t="n"/>
      <c r="E383" s="151" t="n"/>
      <c r="F383" s="151" t="n"/>
      <c r="G383" s="151" t="n"/>
      <c r="H383" s="151" t="n"/>
      <c r="I383" s="142" t="n"/>
      <c r="J383" s="143" t="n"/>
      <c r="K383" s="58" t="n"/>
      <c r="L383" s="58" t="n"/>
      <c r="M383" s="20" t="n"/>
    </row>
    <row r="384">
      <c r="A384" s="246" t="n"/>
      <c r="B384" s="246" t="n"/>
      <c r="C384" s="246" t="n"/>
      <c r="D384" s="246" t="n"/>
      <c r="E384" s="246" t="n"/>
      <c r="F384" s="246" t="n"/>
      <c r="G384" s="246" t="n"/>
      <c r="H384" s="246" t="n"/>
      <c r="I384" s="246" t="n"/>
      <c r="J384" s="246" t="n"/>
      <c r="K384" s="58" t="n"/>
      <c r="L384" s="60" t="n"/>
      <c r="M384" s="20" t="n"/>
    </row>
    <row r="385">
      <c r="A385" s="231" t="n"/>
      <c r="B385" s="151" t="n"/>
      <c r="C385" s="151" t="n"/>
      <c r="D385" s="151" t="n"/>
      <c r="E385" s="151" t="n"/>
      <c r="F385" s="151" t="n"/>
      <c r="G385" s="151" t="n"/>
      <c r="H385" s="151" t="n"/>
      <c r="I385" s="142" t="n"/>
      <c r="J385" s="143" t="n"/>
      <c r="K385" s="58" t="n"/>
      <c r="L385" s="58" t="n"/>
      <c r="M385" s="58" t="n"/>
    </row>
    <row r="386">
      <c r="A386" s="246" t="n"/>
      <c r="B386" s="246" t="n"/>
      <c r="C386" s="246" t="n"/>
      <c r="D386" s="246" t="n"/>
      <c r="E386" s="246" t="n"/>
      <c r="F386" s="246" t="n"/>
      <c r="G386" s="246" t="n"/>
      <c r="H386" s="246" t="n"/>
      <c r="I386" s="246" t="n"/>
      <c r="J386" s="246" t="n"/>
      <c r="K386" s="60" t="n"/>
      <c r="L386" s="60" t="n"/>
      <c r="M386" s="60" t="n"/>
    </row>
    <row r="387">
      <c r="A387" s="231" t="n"/>
      <c r="B387" s="151" t="n"/>
      <c r="C387" s="151" t="n"/>
      <c r="D387" s="151" t="n"/>
      <c r="E387" s="151" t="n"/>
      <c r="F387" s="151" t="n"/>
      <c r="G387" s="151" t="n"/>
      <c r="H387" s="151" t="n"/>
      <c r="I387" s="142" t="n"/>
      <c r="J387" s="143" t="n"/>
      <c r="K387" s="58" t="n"/>
      <c r="L387" s="58" t="n"/>
      <c r="M387" s="20" t="n"/>
    </row>
    <row r="388">
      <c r="A388" s="246" t="n"/>
      <c r="B388" s="246" t="n"/>
      <c r="C388" s="246" t="n"/>
      <c r="D388" s="246" t="n"/>
      <c r="E388" s="246" t="n"/>
      <c r="F388" s="246" t="n"/>
      <c r="G388" s="246" t="n"/>
      <c r="H388" s="246" t="n"/>
      <c r="I388" s="246" t="n"/>
      <c r="J388" s="246" t="n"/>
      <c r="K388" s="58" t="n"/>
      <c r="L388" s="60" t="n"/>
      <c r="M388" s="20" t="n"/>
    </row>
    <row r="389">
      <c r="A389" s="231" t="n"/>
      <c r="B389" s="151" t="n"/>
      <c r="C389" s="151" t="n"/>
      <c r="D389" s="151" t="n"/>
      <c r="E389" s="151" t="n"/>
      <c r="F389" s="151" t="n"/>
      <c r="G389" s="151" t="n"/>
      <c r="H389" s="151" t="n"/>
      <c r="I389" s="142" t="n"/>
      <c r="J389" s="143" t="n"/>
      <c r="K389" s="58" t="n"/>
      <c r="L389" s="58" t="n"/>
      <c r="M389" s="58" t="n"/>
    </row>
    <row r="390">
      <c r="A390" s="246" t="n"/>
      <c r="B390" s="246" t="n"/>
      <c r="C390" s="246" t="n"/>
      <c r="D390" s="246" t="n"/>
      <c r="E390" s="246" t="n"/>
      <c r="F390" s="246" t="n"/>
      <c r="G390" s="246" t="n"/>
      <c r="H390" s="246" t="n"/>
      <c r="I390" s="246" t="n"/>
      <c r="J390" s="246" t="n"/>
      <c r="K390" s="60" t="n"/>
      <c r="L390" s="60" t="n"/>
      <c r="M390" s="60" t="n"/>
    </row>
    <row r="391">
      <c r="A391" s="231" t="n"/>
      <c r="B391" s="151" t="n"/>
      <c r="C391" s="151" t="n"/>
      <c r="D391" s="151" t="n"/>
      <c r="E391" s="151" t="n"/>
      <c r="F391" s="151" t="n"/>
      <c r="G391" s="151" t="n"/>
      <c r="H391" s="151" t="n"/>
      <c r="I391" s="142" t="n"/>
      <c r="J391" s="143" t="n"/>
      <c r="K391" s="58" t="n"/>
      <c r="L391" s="58" t="n"/>
      <c r="M391" s="20" t="n"/>
    </row>
    <row r="392">
      <c r="A392" s="246" t="n"/>
      <c r="B392" s="246" t="n"/>
      <c r="C392" s="246" t="n"/>
      <c r="D392" s="246" t="n"/>
      <c r="E392" s="246" t="n"/>
      <c r="F392" s="246" t="n"/>
      <c r="G392" s="246" t="n"/>
      <c r="H392" s="246" t="n"/>
      <c r="I392" s="246" t="n"/>
      <c r="J392" s="246" t="n"/>
      <c r="K392" s="58" t="n"/>
      <c r="L392" s="60" t="n"/>
      <c r="M392" s="20" t="n"/>
    </row>
    <row r="393">
      <c r="A393" s="231" t="n"/>
      <c r="B393" s="151" t="n"/>
      <c r="C393" s="151" t="n"/>
      <c r="D393" s="151" t="n"/>
      <c r="E393" s="151" t="n"/>
      <c r="F393" s="151" t="n"/>
      <c r="G393" s="151" t="n"/>
      <c r="H393" s="151" t="n"/>
      <c r="I393" s="142" t="n"/>
      <c r="J393" s="143" t="n"/>
      <c r="K393" s="58" t="n"/>
      <c r="L393" s="58" t="n"/>
      <c r="M393" s="58" t="n"/>
    </row>
    <row r="394">
      <c r="A394" s="246" t="n"/>
      <c r="B394" s="246" t="n"/>
      <c r="C394" s="246" t="n"/>
      <c r="D394" s="246" t="n"/>
      <c r="E394" s="246" t="n"/>
      <c r="F394" s="246" t="n"/>
      <c r="G394" s="246" t="n"/>
      <c r="H394" s="246" t="n"/>
      <c r="I394" s="246" t="n"/>
      <c r="J394" s="246" t="n"/>
      <c r="K394" s="60" t="n"/>
      <c r="L394" s="60" t="n"/>
      <c r="M394" s="60" t="n"/>
    </row>
    <row r="395">
      <c r="A395" s="231" t="n"/>
      <c r="B395" s="151" t="n"/>
      <c r="C395" s="151" t="n"/>
      <c r="D395" s="151" t="n"/>
      <c r="E395" s="151" t="n"/>
      <c r="F395" s="151" t="n"/>
      <c r="G395" s="151" t="n"/>
      <c r="H395" s="151" t="n"/>
      <c r="I395" s="142" t="n"/>
      <c r="J395" s="143" t="n"/>
      <c r="K395" s="58" t="n"/>
      <c r="L395" s="58" t="n"/>
      <c r="M395" s="20" t="n"/>
    </row>
    <row r="396">
      <c r="A396" s="246" t="n"/>
      <c r="B396" s="246" t="n"/>
      <c r="C396" s="246" t="n"/>
      <c r="D396" s="246" t="n"/>
      <c r="E396" s="246" t="n"/>
      <c r="F396" s="246" t="n"/>
      <c r="G396" s="246" t="n"/>
      <c r="H396" s="246" t="n"/>
      <c r="I396" s="246" t="n"/>
      <c r="J396" s="246" t="n"/>
      <c r="K396" s="58" t="n"/>
      <c r="L396" s="60" t="n"/>
      <c r="M396" s="20" t="n"/>
    </row>
    <row r="397">
      <c r="A397" s="231" t="n"/>
      <c r="B397" s="151" t="n"/>
      <c r="C397" s="151" t="n"/>
      <c r="D397" s="151" t="n"/>
      <c r="E397" s="151" t="n"/>
      <c r="F397" s="151" t="n"/>
      <c r="G397" s="151" t="n"/>
      <c r="H397" s="151" t="n"/>
      <c r="I397" s="142" t="n"/>
      <c r="J397" s="143" t="n"/>
      <c r="K397" s="58" t="n"/>
      <c r="L397" s="58" t="n"/>
      <c r="M397" s="58" t="n"/>
    </row>
    <row r="398">
      <c r="A398" s="246" t="n"/>
      <c r="B398" s="246" t="n"/>
      <c r="C398" s="246" t="n"/>
      <c r="D398" s="246" t="n"/>
      <c r="E398" s="246" t="n"/>
      <c r="F398" s="246" t="n"/>
      <c r="G398" s="246" t="n"/>
      <c r="H398" s="246" t="n"/>
      <c r="I398" s="246" t="n"/>
      <c r="J398" s="246" t="n"/>
      <c r="K398" s="60" t="n"/>
      <c r="L398" s="60" t="n"/>
      <c r="M398" s="60" t="n"/>
    </row>
    <row r="399">
      <c r="A399" s="231" t="n"/>
      <c r="B399" s="151" t="n"/>
      <c r="C399" s="151" t="n"/>
      <c r="D399" s="151" t="n"/>
      <c r="E399" s="151" t="n"/>
      <c r="F399" s="151" t="n"/>
      <c r="G399" s="151" t="n"/>
      <c r="H399" s="151" t="n"/>
      <c r="I399" s="142" t="n"/>
      <c r="J399" s="143" t="n"/>
      <c r="K399" s="58" t="n"/>
      <c r="L399" s="58" t="n"/>
      <c r="M399" s="20" t="n"/>
    </row>
    <row r="400">
      <c r="A400" s="246" t="n"/>
      <c r="B400" s="246" t="n"/>
      <c r="C400" s="246" t="n"/>
      <c r="D400" s="246" t="n"/>
      <c r="E400" s="246" t="n"/>
      <c r="F400" s="246" t="n"/>
      <c r="G400" s="246" t="n"/>
      <c r="H400" s="246" t="n"/>
      <c r="I400" s="246" t="n"/>
      <c r="J400" s="246" t="n"/>
      <c r="K400" s="58" t="n"/>
      <c r="L400" s="60" t="n"/>
      <c r="M400" s="20" t="n"/>
    </row>
    <row r="401">
      <c r="A401" s="144" t="n"/>
      <c r="B401" s="146" t="n"/>
      <c r="C401" s="146" t="n"/>
      <c r="D401" s="146" t="n"/>
      <c r="E401" s="146" t="n"/>
      <c r="F401" s="146" t="n"/>
      <c r="G401" s="146" t="n"/>
      <c r="H401" s="146" t="n"/>
      <c r="I401" s="132" t="n"/>
      <c r="J401" s="134" t="n"/>
      <c r="K401" s="58" t="n"/>
      <c r="L401" s="58" t="n"/>
      <c r="M401" s="58" t="n"/>
    </row>
  </sheetData>
  <autoFilter ref="A1:M378"/>
  <mergeCells count="1992">
    <mergeCell ref="E235:E236"/>
    <mergeCell ref="G297:G298"/>
    <mergeCell ref="C137:C138"/>
    <mergeCell ref="B165:B166"/>
    <mergeCell ref="J127:J128"/>
    <mergeCell ref="F173:F174"/>
    <mergeCell ref="G299:G300"/>
    <mergeCell ref="I57:I58"/>
    <mergeCell ref="I355:I356"/>
    <mergeCell ref="D229:D230"/>
    <mergeCell ref="A99:A100"/>
    <mergeCell ref="I357:I358"/>
    <mergeCell ref="D283:D284"/>
    <mergeCell ref="A213:A214"/>
    <mergeCell ref="B37:B38"/>
    <mergeCell ref="J295:J296"/>
    <mergeCell ref="D285:D286"/>
    <mergeCell ref="F347:F348"/>
    <mergeCell ref="H105:H106"/>
    <mergeCell ref="F313:F314"/>
    <mergeCell ref="F349:F350"/>
    <mergeCell ref="E377:E378"/>
    <mergeCell ref="G12:G13"/>
    <mergeCell ref="B209:B210"/>
    <mergeCell ref="J23:J24"/>
    <mergeCell ref="B97:B98"/>
    <mergeCell ref="C185:C186"/>
    <mergeCell ref="E247:E248"/>
    <mergeCell ref="D153:D154"/>
    <mergeCell ref="D311:D312"/>
    <mergeCell ref="J77:J78"/>
    <mergeCell ref="E249:E250"/>
    <mergeCell ref="F217:F218"/>
    <mergeCell ref="F375:F376"/>
    <mergeCell ref="H133:H134"/>
    <mergeCell ref="I71:I72"/>
    <mergeCell ref="A145:A146"/>
    <mergeCell ref="A139:A140"/>
    <mergeCell ref="C201:C202"/>
    <mergeCell ref="I73:I74"/>
    <mergeCell ref="A147:A148"/>
    <mergeCell ref="I371:I372"/>
    <mergeCell ref="C203:C204"/>
    <mergeCell ref="E91:E92"/>
    <mergeCell ref="G365:G366"/>
    <mergeCell ref="E389:E390"/>
    <mergeCell ref="G25:G26"/>
    <mergeCell ref="E267:E268"/>
    <mergeCell ref="A171:A172"/>
    <mergeCell ref="G155:G156"/>
    <mergeCell ref="F359:F360"/>
    <mergeCell ref="F299:F300"/>
    <mergeCell ref="A173:A174"/>
    <mergeCell ref="C229:C230"/>
    <mergeCell ref="H29:H30"/>
    <mergeCell ref="G237:G238"/>
    <mergeCell ref="F265:F266"/>
    <mergeCell ref="H363:H364"/>
    <mergeCell ref="A41:A42"/>
    <mergeCell ref="H31:H32"/>
    <mergeCell ref="H329:H330"/>
    <mergeCell ref="J87:J88"/>
    <mergeCell ref="A193:A194"/>
    <mergeCell ref="B167:B168"/>
    <mergeCell ref="B161:B162"/>
    <mergeCell ref="H365:H366"/>
    <mergeCell ref="J123:J124"/>
    <mergeCell ref="E295:E296"/>
    <mergeCell ref="J95:J96"/>
    <mergeCell ref="H331:H332"/>
    <mergeCell ref="J393:J394"/>
    <mergeCell ref="J89:J90"/>
    <mergeCell ref="C257:C258"/>
    <mergeCell ref="D225:D226"/>
    <mergeCell ref="B279:B280"/>
    <mergeCell ref="G79:G80"/>
    <mergeCell ref="D227:D228"/>
    <mergeCell ref="E315:E316"/>
    <mergeCell ref="A209:A210"/>
    <mergeCell ref="B33:B34"/>
    <mergeCell ref="D343:D344"/>
    <mergeCell ref="I23:I24"/>
    <mergeCell ref="A97:A98"/>
    <mergeCell ref="G81:G82"/>
    <mergeCell ref="G379:G380"/>
    <mergeCell ref="I137:I138"/>
    <mergeCell ref="F14:F15"/>
    <mergeCell ref="A211:A212"/>
    <mergeCell ref="J263:J264"/>
    <mergeCell ref="B193:B194"/>
    <mergeCell ref="C161:C162"/>
    <mergeCell ref="C283:C284"/>
    <mergeCell ref="E217:E218"/>
    <mergeCell ref="C275:C276"/>
    <mergeCell ref="C285:C286"/>
    <mergeCell ref="E347:E348"/>
    <mergeCell ref="G105:G106"/>
    <mergeCell ref="E43:E44"/>
    <mergeCell ref="E341:E342"/>
    <mergeCell ref="G107:G108"/>
    <mergeCell ref="H73:H74"/>
    <mergeCell ref="I163:I164"/>
    <mergeCell ref="A237:A238"/>
    <mergeCell ref="B175:B176"/>
    <mergeCell ref="I165:I166"/>
    <mergeCell ref="D91:D92"/>
    <mergeCell ref="A239:A240"/>
    <mergeCell ref="C301:C302"/>
    <mergeCell ref="B177:B178"/>
    <mergeCell ref="F373:F374"/>
    <mergeCell ref="H131:H132"/>
    <mergeCell ref="C303:C304"/>
    <mergeCell ref="D391:D392"/>
    <mergeCell ref="E61:E62"/>
    <mergeCell ref="E359:E360"/>
    <mergeCell ref="A109:A110"/>
    <mergeCell ref="I69:I70"/>
    <mergeCell ref="C323:C324"/>
    <mergeCell ref="B237:B238"/>
    <mergeCell ref="G31:G32"/>
    <mergeCell ref="E387:E388"/>
    <mergeCell ref="G145:G146"/>
    <mergeCell ref="D295:D296"/>
    <mergeCell ref="I95:I96"/>
    <mergeCell ref="G331:G332"/>
    <mergeCell ref="A169:A170"/>
    <mergeCell ref="C225:C226"/>
    <mergeCell ref="I209:I210"/>
    <mergeCell ref="A283:A284"/>
    <mergeCell ref="B101:B102"/>
    <mergeCell ref="D163:D164"/>
    <mergeCell ref="I97:I98"/>
    <mergeCell ref="I395:I396"/>
    <mergeCell ref="D321:D322"/>
    <mergeCell ref="F79:F80"/>
    <mergeCell ref="C227:C228"/>
    <mergeCell ref="C347:C348"/>
    <mergeCell ref="D323:D324"/>
    <mergeCell ref="F81:F82"/>
    <mergeCell ref="E291:E292"/>
    <mergeCell ref="G49:G50"/>
    <mergeCell ref="G207:G208"/>
    <mergeCell ref="H145:H146"/>
    <mergeCell ref="F381:F382"/>
    <mergeCell ref="H139:H140"/>
    <mergeCell ref="J201:J202"/>
    <mergeCell ref="A309:A310"/>
    <mergeCell ref="B275:B276"/>
    <mergeCell ref="J203:J204"/>
    <mergeCell ref="C69:C70"/>
    <mergeCell ref="B277:B278"/>
    <mergeCell ref="C367:C368"/>
    <mergeCell ref="D305:D306"/>
    <mergeCell ref="D16:D18"/>
    <mergeCell ref="F63:F64"/>
    <mergeCell ref="C369:C370"/>
    <mergeCell ref="F397:F398"/>
    <mergeCell ref="E4:E5"/>
    <mergeCell ref="B301:B302"/>
    <mergeCell ref="G191:G192"/>
    <mergeCell ref="F309:F310"/>
    <mergeCell ref="A177:A178"/>
    <mergeCell ref="E373:E374"/>
    <mergeCell ref="B303:B304"/>
    <mergeCell ref="F311:F312"/>
    <mergeCell ref="G103:G104"/>
    <mergeCell ref="E339:E340"/>
    <mergeCell ref="H69:H70"/>
    <mergeCell ref="D367:D368"/>
    <mergeCell ref="F125:F126"/>
    <mergeCell ref="I167:I168"/>
    <mergeCell ref="J133:J134"/>
    <mergeCell ref="H369:H370"/>
    <mergeCell ref="I161:I162"/>
    <mergeCell ref="G63:G64"/>
    <mergeCell ref="C297:C298"/>
    <mergeCell ref="A235:A236"/>
    <mergeCell ref="C299:C300"/>
    <mergeCell ref="E57:E58"/>
    <mergeCell ref="A19:A20"/>
    <mergeCell ref="E355:E356"/>
    <mergeCell ref="H95:H96"/>
    <mergeCell ref="C83:C84"/>
    <mergeCell ref="E357:E358"/>
    <mergeCell ref="H209:H210"/>
    <mergeCell ref="A107:A108"/>
    <mergeCell ref="F339:F340"/>
    <mergeCell ref="H97:H98"/>
    <mergeCell ref="H395:H396"/>
    <mergeCell ref="J153:J154"/>
    <mergeCell ref="B233:B234"/>
    <mergeCell ref="B347:B348"/>
    <mergeCell ref="I179:I180"/>
    <mergeCell ref="I337:I338"/>
    <mergeCell ref="J161:J162"/>
    <mergeCell ref="B235:B236"/>
    <mergeCell ref="D291:D292"/>
    <mergeCell ref="J275:J276"/>
    <mergeCell ref="F21:F22"/>
    <mergeCell ref="D293:D294"/>
    <mergeCell ref="F355:F356"/>
    <mergeCell ref="C12:C13"/>
    <mergeCell ref="F23:F24"/>
    <mergeCell ref="A247:A248"/>
    <mergeCell ref="F181:F182"/>
    <mergeCell ref="H115:H116"/>
    <mergeCell ref="H237:H238"/>
    <mergeCell ref="A249:A250"/>
    <mergeCell ref="B217:B218"/>
    <mergeCell ref="H239:H240"/>
    <mergeCell ref="J301:J302"/>
    <mergeCell ref="B375:B376"/>
    <mergeCell ref="D133:D134"/>
    <mergeCell ref="E71:E72"/>
    <mergeCell ref="C307:C308"/>
    <mergeCell ref="J303:J304"/>
    <mergeCell ref="H255:H256"/>
    <mergeCell ref="F103:F104"/>
    <mergeCell ref="A275:A276"/>
    <mergeCell ref="C33:C34"/>
    <mergeCell ref="A267:A268"/>
    <mergeCell ref="H167:H168"/>
    <mergeCell ref="A277:A278"/>
    <mergeCell ref="C35:C36"/>
    <mergeCell ref="B243:B244"/>
    <mergeCell ref="C333:C334"/>
    <mergeCell ref="H169:H170"/>
    <mergeCell ref="J225:J226"/>
    <mergeCell ref="B299:B300"/>
    <mergeCell ref="E397:E398"/>
    <mergeCell ref="C237:C238"/>
    <mergeCell ref="J227:J228"/>
    <mergeCell ref="D363:D364"/>
    <mergeCell ref="F121:F122"/>
    <mergeCell ref="G59:G60"/>
    <mergeCell ref="D365:D366"/>
    <mergeCell ref="F123:F124"/>
    <mergeCell ref="G211:G212"/>
    <mergeCell ref="A295:A296"/>
    <mergeCell ref="A347:A348"/>
    <mergeCell ref="G219:G220"/>
    <mergeCell ref="H309:H310"/>
    <mergeCell ref="I275:I276"/>
    <mergeCell ref="A349:A350"/>
    <mergeCell ref="H339:H340"/>
    <mergeCell ref="C79:C80"/>
    <mergeCell ref="A315:A316"/>
    <mergeCell ref="B12:B13"/>
    <mergeCell ref="H311:H312"/>
    <mergeCell ref="J69:J70"/>
    <mergeCell ref="J367:J368"/>
    <mergeCell ref="E23:E24"/>
    <mergeCell ref="E181:E182"/>
    <mergeCell ref="C379:C380"/>
    <mergeCell ref="E137:E138"/>
    <mergeCell ref="B14:B15"/>
    <mergeCell ref="J369:J370"/>
    <mergeCell ref="F263:F264"/>
    <mergeCell ref="G87:G88"/>
    <mergeCell ref="A217:A218"/>
    <mergeCell ref="G239:G240"/>
    <mergeCell ref="I301:I302"/>
    <mergeCell ref="G201:G202"/>
    <mergeCell ref="A375:A376"/>
    <mergeCell ref="B313:B314"/>
    <mergeCell ref="C105:C106"/>
    <mergeCell ref="A341:A342"/>
    <mergeCell ref="D71:D72"/>
    <mergeCell ref="I303:I304"/>
    <mergeCell ref="A377:A378"/>
    <mergeCell ref="G143:G144"/>
    <mergeCell ref="H233:H234"/>
    <mergeCell ref="D73:D74"/>
    <mergeCell ref="E163:E164"/>
    <mergeCell ref="E199:E200"/>
    <mergeCell ref="I207:I208"/>
    <mergeCell ref="H235:H236"/>
    <mergeCell ref="J297:J298"/>
    <mergeCell ref="A59:A60"/>
    <mergeCell ref="B25:B26"/>
    <mergeCell ref="B35:B36"/>
    <mergeCell ref="J299:J300"/>
    <mergeCell ref="J293:J294"/>
    <mergeCell ref="B155:B156"/>
    <mergeCell ref="A61:A62"/>
    <mergeCell ref="A359:A360"/>
    <mergeCell ref="G169:G170"/>
    <mergeCell ref="I233:I234"/>
    <mergeCell ref="C65:C66"/>
    <mergeCell ref="I227:I228"/>
    <mergeCell ref="I347:I348"/>
    <mergeCell ref="H253:H254"/>
    <mergeCell ref="A273:A274"/>
    <mergeCell ref="B239:B240"/>
    <mergeCell ref="D301:D302"/>
    <mergeCell ref="C31:C32"/>
    <mergeCell ref="C329:C330"/>
    <mergeCell ref="I235:I236"/>
    <mergeCell ref="C365:C366"/>
    <mergeCell ref="E95:E96"/>
    <mergeCell ref="F61:F62"/>
    <mergeCell ref="C331:C332"/>
    <mergeCell ref="E393:E394"/>
    <mergeCell ref="J12:J13"/>
    <mergeCell ref="G309:G310"/>
    <mergeCell ref="E97:E98"/>
    <mergeCell ref="E395:E396"/>
    <mergeCell ref="G153:G154"/>
    <mergeCell ref="B79:B80"/>
    <mergeCell ref="J14:J15"/>
    <mergeCell ref="G311:G312"/>
    <mergeCell ref="D23:D24"/>
    <mergeCell ref="B81:B82"/>
    <mergeCell ref="I217:I218"/>
    <mergeCell ref="A291:A292"/>
    <mergeCell ref="C49:C50"/>
    <mergeCell ref="I77:I78"/>
    <mergeCell ref="I375:I376"/>
    <mergeCell ref="I369:I370"/>
    <mergeCell ref="D145:D146"/>
    <mergeCell ref="B381:B382"/>
    <mergeCell ref="F201:F202"/>
    <mergeCell ref="I377:I378"/>
    <mergeCell ref="F89:F90"/>
    <mergeCell ref="B105:B106"/>
    <mergeCell ref="J65:J66"/>
    <mergeCell ref="J363:J364"/>
    <mergeCell ref="J399:J400"/>
    <mergeCell ref="G329:G330"/>
    <mergeCell ref="B107:B108"/>
    <mergeCell ref="J365:J366"/>
    <mergeCell ref="I297:I298"/>
    <mergeCell ref="D171:D172"/>
    <mergeCell ref="D165:D166"/>
    <mergeCell ref="A4:A5"/>
    <mergeCell ref="I299:I300"/>
    <mergeCell ref="D173:D174"/>
    <mergeCell ref="E139:E140"/>
    <mergeCell ref="F229:F230"/>
    <mergeCell ref="A155:A156"/>
    <mergeCell ref="E195:E196"/>
    <mergeCell ref="B125:B126"/>
    <mergeCell ref="G253:G254"/>
    <mergeCell ref="I141:I142"/>
    <mergeCell ref="I317:I318"/>
    <mergeCell ref="B39:B40"/>
    <mergeCell ref="D95:D96"/>
    <mergeCell ref="J79:J80"/>
    <mergeCell ref="A25:A26"/>
    <mergeCell ref="I12:I13"/>
    <mergeCell ref="D209:D210"/>
    <mergeCell ref="I143:I144"/>
    <mergeCell ref="B339:B340"/>
    <mergeCell ref="D97:D98"/>
    <mergeCell ref="F159:F160"/>
    <mergeCell ref="D395:D396"/>
    <mergeCell ref="F153:F154"/>
    <mergeCell ref="I14:I15"/>
    <mergeCell ref="F161:F162"/>
    <mergeCell ref="A81:A82"/>
    <mergeCell ref="H217:H218"/>
    <mergeCell ref="H77:H78"/>
    <mergeCell ref="H375:H376"/>
    <mergeCell ref="G281:G282"/>
    <mergeCell ref="C145:C146"/>
    <mergeCell ref="B355:B356"/>
    <mergeCell ref="D113:D114"/>
    <mergeCell ref="J141:J142"/>
    <mergeCell ref="H377:H378"/>
    <mergeCell ref="J135:J136"/>
    <mergeCell ref="D271:D272"/>
    <mergeCell ref="C147:C148"/>
    <mergeCell ref="E209:E210"/>
    <mergeCell ref="D115:D116"/>
    <mergeCell ref="E203:E204"/>
    <mergeCell ref="D237:D238"/>
    <mergeCell ref="F329:F330"/>
    <mergeCell ref="D239:D240"/>
    <mergeCell ref="F301:F302"/>
    <mergeCell ref="A105:A106"/>
    <mergeCell ref="H59:H60"/>
    <mergeCell ref="G267:G268"/>
    <mergeCell ref="F295:F296"/>
    <mergeCell ref="A397:A398"/>
    <mergeCell ref="F331:F332"/>
    <mergeCell ref="H393:H394"/>
    <mergeCell ref="A71:A72"/>
    <mergeCell ref="I373:I374"/>
    <mergeCell ref="C171:C172"/>
    <mergeCell ref="F303:F304"/>
    <mergeCell ref="H61:H62"/>
    <mergeCell ref="H359:H360"/>
    <mergeCell ref="C173:C174"/>
    <mergeCell ref="E229:E230"/>
    <mergeCell ref="J125:J126"/>
    <mergeCell ref="D255:D256"/>
    <mergeCell ref="A311:A312"/>
    <mergeCell ref="B103:B104"/>
    <mergeCell ref="A125:A126"/>
    <mergeCell ref="H273:H274"/>
    <mergeCell ref="J31:J32"/>
    <mergeCell ref="D167:D168"/>
    <mergeCell ref="B63:B64"/>
    <mergeCell ref="A127:A128"/>
    <mergeCell ref="D169:D170"/>
    <mergeCell ref="E135:E136"/>
    <mergeCell ref="F225:F226"/>
    <mergeCell ref="G351:G352"/>
    <mergeCell ref="C191:C192"/>
    <mergeCell ref="F227:F228"/>
    <mergeCell ref="A339:A340"/>
    <mergeCell ref="C97:C98"/>
    <mergeCell ref="H291:H292"/>
    <mergeCell ref="J49:J50"/>
    <mergeCell ref="J207:J208"/>
    <mergeCell ref="E161:E162"/>
    <mergeCell ref="E275:E276"/>
    <mergeCell ref="D339:D340"/>
    <mergeCell ref="A21:A22"/>
    <mergeCell ref="A57:A58"/>
    <mergeCell ref="A23:A24"/>
    <mergeCell ref="A181:A182"/>
    <mergeCell ref="A357:A358"/>
    <mergeCell ref="C87:C88"/>
    <mergeCell ref="C245:C246"/>
    <mergeCell ref="H4:H5"/>
    <mergeCell ref="C239:C240"/>
    <mergeCell ref="E301:E302"/>
    <mergeCell ref="H373:H374"/>
    <mergeCell ref="G67:G68"/>
    <mergeCell ref="E303:E304"/>
    <mergeCell ref="G61:G62"/>
    <mergeCell ref="G359:G360"/>
    <mergeCell ref="D233:D234"/>
    <mergeCell ref="G69:G70"/>
    <mergeCell ref="G367:G368"/>
    <mergeCell ref="I125:I126"/>
    <mergeCell ref="C255:C256"/>
    <mergeCell ref="F297:F298"/>
    <mergeCell ref="I127:I128"/>
    <mergeCell ref="F327:F328"/>
    <mergeCell ref="H389:H390"/>
    <mergeCell ref="C167:C168"/>
    <mergeCell ref="H57:H58"/>
    <mergeCell ref="H355:H356"/>
    <mergeCell ref="H391:H392"/>
    <mergeCell ref="I39:I40"/>
    <mergeCell ref="J149:J150"/>
    <mergeCell ref="C169:C170"/>
    <mergeCell ref="J121:J122"/>
    <mergeCell ref="H357:H358"/>
    <mergeCell ref="J115:J116"/>
    <mergeCell ref="E233:E234"/>
    <mergeCell ref="E227:E228"/>
    <mergeCell ref="B163:B164"/>
    <mergeCell ref="G291:G292"/>
    <mergeCell ref="I49:I50"/>
    <mergeCell ref="A123:A124"/>
    <mergeCell ref="G293:G294"/>
    <mergeCell ref="F12:F13"/>
    <mergeCell ref="B219:B220"/>
    <mergeCell ref="C309:C310"/>
    <mergeCell ref="C187:C188"/>
    <mergeCell ref="D275:D276"/>
    <mergeCell ref="C311:C312"/>
    <mergeCell ref="E77:E78"/>
    <mergeCell ref="E375:E376"/>
    <mergeCell ref="G133:G134"/>
    <mergeCell ref="E369:E370"/>
    <mergeCell ref="B87:B88"/>
    <mergeCell ref="H71:H72"/>
    <mergeCell ref="B245:B246"/>
    <mergeCell ref="G4:G5"/>
    <mergeCell ref="B201:B202"/>
    <mergeCell ref="G135:G136"/>
    <mergeCell ref="I191:I192"/>
    <mergeCell ref="A265:A266"/>
    <mergeCell ref="B89:B90"/>
    <mergeCell ref="D309:D310"/>
    <mergeCell ref="F67:F68"/>
    <mergeCell ref="D303:D304"/>
    <mergeCell ref="I199:I200"/>
    <mergeCell ref="F69:F70"/>
    <mergeCell ref="F367:F368"/>
    <mergeCell ref="H125:H126"/>
    <mergeCell ref="E297:E298"/>
    <mergeCell ref="A137:A138"/>
    <mergeCell ref="J231:J232"/>
    <mergeCell ref="F369:F370"/>
    <mergeCell ref="H127:H128"/>
    <mergeCell ref="B263:B264"/>
    <mergeCell ref="D21:D22"/>
    <mergeCell ref="E299:E300"/>
    <mergeCell ref="B229:B230"/>
    <mergeCell ref="J191:J192"/>
    <mergeCell ref="H39:H40"/>
    <mergeCell ref="G65:G66"/>
    <mergeCell ref="G363:G364"/>
    <mergeCell ref="I121:I122"/>
    <mergeCell ref="G357:G358"/>
    <mergeCell ref="J103:J104"/>
    <mergeCell ref="A163:A164"/>
    <mergeCell ref="I123:I124"/>
    <mergeCell ref="D347:D348"/>
    <mergeCell ref="D235:D236"/>
    <mergeCell ref="F293:F294"/>
    <mergeCell ref="E12:E13"/>
    <mergeCell ref="I335:I336"/>
    <mergeCell ref="H23:H24"/>
    <mergeCell ref="B159:B160"/>
    <mergeCell ref="B153:B154"/>
    <mergeCell ref="E14:E15"/>
    <mergeCell ref="G385:G386"/>
    <mergeCell ref="D217:D218"/>
    <mergeCell ref="I151:I152"/>
    <mergeCell ref="D77:D78"/>
    <mergeCell ref="D375:D376"/>
    <mergeCell ref="C281:C282"/>
    <mergeCell ref="A87:A88"/>
    <mergeCell ref="F141:F142"/>
    <mergeCell ref="D377:D378"/>
    <mergeCell ref="F135:F136"/>
    <mergeCell ref="J143:J144"/>
    <mergeCell ref="A89:A90"/>
    <mergeCell ref="G73:G74"/>
    <mergeCell ref="H199:H200"/>
    <mergeCell ref="J255:J256"/>
    <mergeCell ref="B329:B330"/>
    <mergeCell ref="C153:C154"/>
    <mergeCell ref="G129:G130"/>
    <mergeCell ref="C267:C268"/>
    <mergeCell ref="B331:B332"/>
    <mergeCell ref="D393:D394"/>
    <mergeCell ref="G131:G132"/>
    <mergeCell ref="J169:J170"/>
    <mergeCell ref="D299:D300"/>
    <mergeCell ref="I195:I196"/>
    <mergeCell ref="A229:A230"/>
    <mergeCell ref="I189:I190"/>
    <mergeCell ref="F65:F66"/>
    <mergeCell ref="F363:F364"/>
    <mergeCell ref="B357:B358"/>
    <mergeCell ref="H129:H130"/>
    <mergeCell ref="F365:F366"/>
    <mergeCell ref="G157:G158"/>
    <mergeCell ref="H123:H124"/>
    <mergeCell ref="E59:E60"/>
    <mergeCell ref="B259:B260"/>
    <mergeCell ref="C295:C296"/>
    <mergeCell ref="B225:B226"/>
    <mergeCell ref="I221:I222"/>
    <mergeCell ref="J309:J310"/>
    <mergeCell ref="J187:J188"/>
    <mergeCell ref="J311:J312"/>
    <mergeCell ref="J189:J190"/>
    <mergeCell ref="D319:D320"/>
    <mergeCell ref="A159:A160"/>
    <mergeCell ref="F49:F50"/>
    <mergeCell ref="D14:D15"/>
    <mergeCell ref="F207:F208"/>
    <mergeCell ref="A161:A162"/>
    <mergeCell ref="C217:C218"/>
    <mergeCell ref="H151:H152"/>
    <mergeCell ref="H113:H114"/>
    <mergeCell ref="C77:C78"/>
    <mergeCell ref="C375:C376"/>
    <mergeCell ref="H271:H272"/>
    <mergeCell ref="J29:J30"/>
    <mergeCell ref="H265:H266"/>
    <mergeCell ref="I89:I90"/>
    <mergeCell ref="J215:J216"/>
    <mergeCell ref="E141:E142"/>
    <mergeCell ref="C377:C378"/>
    <mergeCell ref="D345:D346"/>
    <mergeCell ref="J329:J330"/>
    <mergeCell ref="C349:C350"/>
    <mergeCell ref="E107:E108"/>
    <mergeCell ref="E143:E144"/>
    <mergeCell ref="G199:G200"/>
    <mergeCell ref="G171:G172"/>
    <mergeCell ref="D4:D5"/>
    <mergeCell ref="A301:A302"/>
    <mergeCell ref="A179:A180"/>
    <mergeCell ref="B267:B268"/>
    <mergeCell ref="I263:I264"/>
    <mergeCell ref="D373:D374"/>
    <mergeCell ref="F131:F132"/>
    <mergeCell ref="C67:C68"/>
    <mergeCell ref="D33:D34"/>
    <mergeCell ref="A303:A304"/>
    <mergeCell ref="C61:C62"/>
    <mergeCell ref="I229:I230"/>
    <mergeCell ref="C359:C360"/>
    <mergeCell ref="I265:I266"/>
    <mergeCell ref="C395:C396"/>
    <mergeCell ref="H195:H196"/>
    <mergeCell ref="E125:E126"/>
    <mergeCell ref="H197:H198"/>
    <mergeCell ref="J259:J260"/>
    <mergeCell ref="E127:E128"/>
    <mergeCell ref="J253:J254"/>
    <mergeCell ref="D59:D60"/>
    <mergeCell ref="B295:B296"/>
    <mergeCell ref="E39:E40"/>
    <mergeCell ref="E337:E338"/>
    <mergeCell ref="A225:A226"/>
    <mergeCell ref="D61:D62"/>
    <mergeCell ref="D359:D360"/>
    <mergeCell ref="G97:G98"/>
    <mergeCell ref="I159:I160"/>
    <mergeCell ref="A233:A234"/>
    <mergeCell ref="A227:A228"/>
    <mergeCell ref="H223:H224"/>
    <mergeCell ref="C291:C292"/>
    <mergeCell ref="E49:E50"/>
    <mergeCell ref="J281:J282"/>
    <mergeCell ref="E207:E208"/>
    <mergeCell ref="F31:F32"/>
    <mergeCell ref="C293:C294"/>
    <mergeCell ref="G113:G114"/>
    <mergeCell ref="G271:G272"/>
    <mergeCell ref="I29:I30"/>
    <mergeCell ref="G115:G116"/>
    <mergeCell ref="G273:G274"/>
    <mergeCell ref="I31:I32"/>
    <mergeCell ref="I329:I330"/>
    <mergeCell ref="B227:B228"/>
    <mergeCell ref="I331:I332"/>
    <mergeCell ref="C4:C5"/>
    <mergeCell ref="I85:I86"/>
    <mergeCell ref="C373:C374"/>
    <mergeCell ref="B67:B68"/>
    <mergeCell ref="J27:J28"/>
    <mergeCell ref="J325:J326"/>
    <mergeCell ref="E103:E104"/>
    <mergeCell ref="J335:J336"/>
    <mergeCell ref="G195:G196"/>
    <mergeCell ref="B69:B70"/>
    <mergeCell ref="B367:B368"/>
    <mergeCell ref="J327:J328"/>
    <mergeCell ref="D125:D126"/>
    <mergeCell ref="G167:G168"/>
    <mergeCell ref="A297:A298"/>
    <mergeCell ref="F231:F232"/>
    <mergeCell ref="G197:G198"/>
    <mergeCell ref="I259:I260"/>
    <mergeCell ref="B369:B370"/>
    <mergeCell ref="D127:D128"/>
    <mergeCell ref="A299:A300"/>
    <mergeCell ref="I261:I262"/>
    <mergeCell ref="H289:H290"/>
    <mergeCell ref="J351:J352"/>
    <mergeCell ref="F191:F192"/>
    <mergeCell ref="D39:D40"/>
    <mergeCell ref="C363:C364"/>
    <mergeCell ref="E121:E122"/>
    <mergeCell ref="C357:C358"/>
    <mergeCell ref="J353:J354"/>
    <mergeCell ref="E123:E124"/>
    <mergeCell ref="G223:G224"/>
    <mergeCell ref="G179:G180"/>
    <mergeCell ref="G337:G338"/>
    <mergeCell ref="H161:H162"/>
    <mergeCell ref="B297:B298"/>
    <mergeCell ref="B291:B292"/>
    <mergeCell ref="I287:I288"/>
    <mergeCell ref="I103:I104"/>
    <mergeCell ref="D57:D58"/>
    <mergeCell ref="B293:B294"/>
    <mergeCell ref="D355:D356"/>
    <mergeCell ref="F113:F114"/>
    <mergeCell ref="A12:A13"/>
    <mergeCell ref="I289:I290"/>
    <mergeCell ref="D181:D182"/>
    <mergeCell ref="D357:D358"/>
    <mergeCell ref="F115:F116"/>
    <mergeCell ref="A14:A15"/>
    <mergeCell ref="E149:E150"/>
    <mergeCell ref="F273:F274"/>
    <mergeCell ref="F245:F246"/>
    <mergeCell ref="F239:F240"/>
    <mergeCell ref="H301:H302"/>
    <mergeCell ref="H179:H180"/>
    <mergeCell ref="B133:B134"/>
    <mergeCell ref="H337:H338"/>
    <mergeCell ref="J67:J68"/>
    <mergeCell ref="B4:B5"/>
    <mergeCell ref="H303:H304"/>
    <mergeCell ref="B141:B142"/>
    <mergeCell ref="J61:J62"/>
    <mergeCell ref="B135:B136"/>
    <mergeCell ref="J97:J98"/>
    <mergeCell ref="A67:A68"/>
    <mergeCell ref="I27:I28"/>
    <mergeCell ref="I2:I3"/>
    <mergeCell ref="I325:I326"/>
    <mergeCell ref="D199:D200"/>
    <mergeCell ref="F255:F256"/>
    <mergeCell ref="A69:A70"/>
    <mergeCell ref="A367:A368"/>
    <mergeCell ref="I327:I328"/>
    <mergeCell ref="H21:H22"/>
    <mergeCell ref="C133:C134"/>
    <mergeCell ref="A369:A370"/>
    <mergeCell ref="C127:C128"/>
    <mergeCell ref="F169:F170"/>
    <mergeCell ref="C99:C100"/>
    <mergeCell ref="C135:C136"/>
    <mergeCell ref="E191:E192"/>
    <mergeCell ref="B65:B66"/>
    <mergeCell ref="B363:B364"/>
    <mergeCell ref="D121:D122"/>
    <mergeCell ref="I55:I56"/>
    <mergeCell ref="I353:I354"/>
    <mergeCell ref="G255:G256"/>
    <mergeCell ref="D129:D130"/>
    <mergeCell ref="J291:J292"/>
    <mergeCell ref="B365:B366"/>
    <mergeCell ref="D123:D124"/>
    <mergeCell ref="F187:F188"/>
    <mergeCell ref="H103:H104"/>
    <mergeCell ref="F189:F190"/>
    <mergeCell ref="G8:G9"/>
    <mergeCell ref="C29:C30"/>
    <mergeCell ref="J167:J168"/>
    <mergeCell ref="D297:D298"/>
    <mergeCell ref="G10:G11"/>
    <mergeCell ref="D263:D264"/>
    <mergeCell ref="E87:E88"/>
    <mergeCell ref="E245:E246"/>
    <mergeCell ref="J4:J5"/>
    <mergeCell ref="D151:D152"/>
    <mergeCell ref="E89:E90"/>
    <mergeCell ref="I67:I68"/>
    <mergeCell ref="F215:F216"/>
    <mergeCell ref="A141:A142"/>
    <mergeCell ref="A143:A144"/>
    <mergeCell ref="I367:I368"/>
    <mergeCell ref="C199:C200"/>
    <mergeCell ref="E263:E264"/>
    <mergeCell ref="G21:G22"/>
    <mergeCell ref="H299:H300"/>
    <mergeCell ref="J57:J58"/>
    <mergeCell ref="H335:H336"/>
    <mergeCell ref="J93:J94"/>
    <mergeCell ref="J391:J392"/>
    <mergeCell ref="G23:G24"/>
    <mergeCell ref="E265:E266"/>
    <mergeCell ref="A153:A154"/>
    <mergeCell ref="D195:D196"/>
    <mergeCell ref="I87:I88"/>
    <mergeCell ref="G233:G234"/>
    <mergeCell ref="A65:A66"/>
    <mergeCell ref="A363:A364"/>
    <mergeCell ref="D197:D198"/>
    <mergeCell ref="F259:F260"/>
    <mergeCell ref="G235:G236"/>
    <mergeCell ref="C129:C130"/>
    <mergeCell ref="A365:A366"/>
    <mergeCell ref="H361:H362"/>
    <mergeCell ref="J119:J120"/>
    <mergeCell ref="H19:H20"/>
    <mergeCell ref="H317:H318"/>
    <mergeCell ref="C95:C96"/>
    <mergeCell ref="C131:C132"/>
    <mergeCell ref="J85:J86"/>
    <mergeCell ref="H12:H13"/>
    <mergeCell ref="D221:D222"/>
    <mergeCell ref="E187:E188"/>
    <mergeCell ref="H319:H320"/>
    <mergeCell ref="E159:E160"/>
    <mergeCell ref="H14:H15"/>
    <mergeCell ref="J385:J386"/>
    <mergeCell ref="E189:E190"/>
    <mergeCell ref="D223:D224"/>
    <mergeCell ref="G251:G252"/>
    <mergeCell ref="F279:F280"/>
    <mergeCell ref="G217:G218"/>
    <mergeCell ref="A49:A50"/>
    <mergeCell ref="G77:G78"/>
    <mergeCell ref="G375:G376"/>
    <mergeCell ref="I133:I134"/>
    <mergeCell ref="F10:F11"/>
    <mergeCell ref="H343:H344"/>
    <mergeCell ref="A207:A208"/>
    <mergeCell ref="F281:F282"/>
    <mergeCell ref="B31:B32"/>
    <mergeCell ref="C113:C114"/>
    <mergeCell ref="G377:G378"/>
    <mergeCell ref="I135:I136"/>
    <mergeCell ref="H345:H346"/>
    <mergeCell ref="C271:C272"/>
    <mergeCell ref="E29:E30"/>
    <mergeCell ref="A385:A386"/>
    <mergeCell ref="J261:J262"/>
    <mergeCell ref="C115:C116"/>
    <mergeCell ref="E215:E216"/>
    <mergeCell ref="C273:C274"/>
    <mergeCell ref="I223:I224"/>
    <mergeCell ref="E329:E330"/>
    <mergeCell ref="G6:G7"/>
    <mergeCell ref="I37:I38"/>
    <mergeCell ref="G95:G96"/>
    <mergeCell ref="G393:G394"/>
    <mergeCell ref="B171:B172"/>
    <mergeCell ref="B49:B50"/>
    <mergeCell ref="B207:B208"/>
    <mergeCell ref="G395:G396"/>
    <mergeCell ref="B173:B174"/>
    <mergeCell ref="F29:F30"/>
    <mergeCell ref="D265:D266"/>
    <mergeCell ref="I65:I66"/>
    <mergeCell ref="I363:I364"/>
    <mergeCell ref="J33:J34"/>
    <mergeCell ref="H269:H270"/>
    <mergeCell ref="C195:C196"/>
    <mergeCell ref="I365:I366"/>
    <mergeCell ref="J333:J334"/>
    <mergeCell ref="C197:C198"/>
    <mergeCell ref="E259:E260"/>
    <mergeCell ref="H89:H90"/>
    <mergeCell ref="E261:E262"/>
    <mergeCell ref="G19:G20"/>
    <mergeCell ref="G317:G318"/>
    <mergeCell ref="B191:B192"/>
    <mergeCell ref="I83:I84"/>
    <mergeCell ref="G319:G320"/>
    <mergeCell ref="I93:I94"/>
    <mergeCell ref="G14:G15"/>
    <mergeCell ref="C223:C224"/>
    <mergeCell ref="C337:C338"/>
    <mergeCell ref="D161:D162"/>
    <mergeCell ref="F77:F78"/>
    <mergeCell ref="E287:E288"/>
    <mergeCell ref="G45:G46"/>
    <mergeCell ref="G343:G344"/>
    <mergeCell ref="B113:B114"/>
    <mergeCell ref="H141:H142"/>
    <mergeCell ref="G47:G48"/>
    <mergeCell ref="F377:F378"/>
    <mergeCell ref="H135:H136"/>
    <mergeCell ref="I109:I110"/>
    <mergeCell ref="G345:G346"/>
    <mergeCell ref="B271:B272"/>
    <mergeCell ref="E289:E290"/>
    <mergeCell ref="H143:H144"/>
    <mergeCell ref="B115:B116"/>
    <mergeCell ref="J199:J200"/>
    <mergeCell ref="B273:B274"/>
    <mergeCell ref="D179:D180"/>
    <mergeCell ref="F59:F60"/>
    <mergeCell ref="D337:D338"/>
    <mergeCell ref="F95:F96"/>
    <mergeCell ref="D331:D332"/>
    <mergeCell ref="F393:F394"/>
    <mergeCell ref="G373:G374"/>
    <mergeCell ref="I131:I132"/>
    <mergeCell ref="H159:H160"/>
    <mergeCell ref="F395:F396"/>
    <mergeCell ref="G187:G188"/>
    <mergeCell ref="E2:E3"/>
    <mergeCell ref="B255:B256"/>
    <mergeCell ref="H65:H66"/>
    <mergeCell ref="E335:E336"/>
    <mergeCell ref="A77:A78"/>
    <mergeCell ref="J129:J130"/>
    <mergeCell ref="G399:G400"/>
    <mergeCell ref="I35:I36"/>
    <mergeCell ref="B197:B198"/>
    <mergeCell ref="I193:I194"/>
    <mergeCell ref="B169:B170"/>
    <mergeCell ref="J131:J132"/>
    <mergeCell ref="D261:D262"/>
    <mergeCell ref="A191:A192"/>
    <mergeCell ref="E55:E56"/>
    <mergeCell ref="F325:F326"/>
    <mergeCell ref="G117:G118"/>
    <mergeCell ref="E353:E354"/>
    <mergeCell ref="F319:F320"/>
    <mergeCell ref="H83:H84"/>
    <mergeCell ref="A103:A104"/>
    <mergeCell ref="H93:H94"/>
    <mergeCell ref="F291:F292"/>
    <mergeCell ref="H49:H50"/>
    <mergeCell ref="H85:H86"/>
    <mergeCell ref="H207:H208"/>
    <mergeCell ref="H383:H384"/>
    <mergeCell ref="I175:I176"/>
    <mergeCell ref="J151:J152"/>
    <mergeCell ref="J113:J114"/>
    <mergeCell ref="B187:B188"/>
    <mergeCell ref="D287:D288"/>
    <mergeCell ref="J271:J272"/>
    <mergeCell ref="H385:H386"/>
    <mergeCell ref="I177:I178"/>
    <mergeCell ref="E225:E226"/>
    <mergeCell ref="D289:D290"/>
    <mergeCell ref="C8:C9"/>
    <mergeCell ref="H109:H110"/>
    <mergeCell ref="J273:J274"/>
    <mergeCell ref="F345:F346"/>
    <mergeCell ref="F167:F168"/>
    <mergeCell ref="H75:H76"/>
    <mergeCell ref="A121:A122"/>
    <mergeCell ref="A115:A116"/>
    <mergeCell ref="F353:F354"/>
    <mergeCell ref="H111:H112"/>
    <mergeCell ref="A245:A246"/>
    <mergeCell ref="F4:F5"/>
    <mergeCell ref="B213:B214"/>
    <mergeCell ref="C179:C180"/>
    <mergeCell ref="E67:E68"/>
    <mergeCell ref="B215:B216"/>
    <mergeCell ref="D131:D132"/>
    <mergeCell ref="J195:J196"/>
    <mergeCell ref="E69:E70"/>
    <mergeCell ref="E367:E368"/>
    <mergeCell ref="G125:G126"/>
    <mergeCell ref="D2:D3"/>
    <mergeCell ref="H251:H252"/>
    <mergeCell ref="J197:J198"/>
    <mergeCell ref="G127:G128"/>
    <mergeCell ref="F91:F92"/>
    <mergeCell ref="A263:A264"/>
    <mergeCell ref="C21:C22"/>
    <mergeCell ref="D335:D336"/>
    <mergeCell ref="F93:F94"/>
    <mergeCell ref="H155:H156"/>
    <mergeCell ref="F391:F392"/>
    <mergeCell ref="C23:C24"/>
    <mergeCell ref="J221:J222"/>
    <mergeCell ref="I247:I248"/>
    <mergeCell ref="J213:J214"/>
    <mergeCell ref="C233:C234"/>
    <mergeCell ref="J223:J224"/>
    <mergeCell ref="C235:C236"/>
    <mergeCell ref="D361:D362"/>
    <mergeCell ref="F119:F120"/>
    <mergeCell ref="G57:G58"/>
    <mergeCell ref="E293:E294"/>
    <mergeCell ref="G355:G356"/>
    <mergeCell ref="I113:I114"/>
    <mergeCell ref="A187:A188"/>
    <mergeCell ref="I271:I272"/>
    <mergeCell ref="I115:I116"/>
    <mergeCell ref="A189:A190"/>
    <mergeCell ref="C251:C252"/>
    <mergeCell ref="I273:I274"/>
    <mergeCell ref="J241:J242"/>
    <mergeCell ref="E167:E168"/>
    <mergeCell ref="E133:E134"/>
    <mergeCell ref="B10:B11"/>
    <mergeCell ref="A29:A30"/>
    <mergeCell ref="F261:F262"/>
    <mergeCell ref="G85:G86"/>
    <mergeCell ref="B309:B310"/>
    <mergeCell ref="D67:D68"/>
    <mergeCell ref="A215:A216"/>
    <mergeCell ref="I255:I256"/>
    <mergeCell ref="A329:A330"/>
    <mergeCell ref="B311:B312"/>
    <mergeCell ref="H107:H108"/>
    <mergeCell ref="D69:D70"/>
    <mergeCell ref="C279:C280"/>
    <mergeCell ref="E37:E38"/>
    <mergeCell ref="C393:C394"/>
    <mergeCell ref="J383:J384"/>
    <mergeCell ref="H231:H232"/>
    <mergeCell ref="I197:I198"/>
    <mergeCell ref="F133:F134"/>
    <mergeCell ref="J171:J172"/>
    <mergeCell ref="J165:J166"/>
    <mergeCell ref="F127:F128"/>
    <mergeCell ref="D369:D370"/>
    <mergeCell ref="C335:C336"/>
    <mergeCell ref="H191:H192"/>
    <mergeCell ref="B29:B30"/>
    <mergeCell ref="B23:B24"/>
    <mergeCell ref="A355:A356"/>
    <mergeCell ref="E65:E66"/>
    <mergeCell ref="E363:E364"/>
    <mergeCell ref="G121:G122"/>
    <mergeCell ref="D87:D88"/>
    <mergeCell ref="E365:E366"/>
    <mergeCell ref="G123:G124"/>
    <mergeCell ref="H249:H250"/>
    <mergeCell ref="E179:E180"/>
    <mergeCell ref="C27:C28"/>
    <mergeCell ref="I231:I232"/>
    <mergeCell ref="I187:I188"/>
    <mergeCell ref="C361:C362"/>
    <mergeCell ref="F57:F58"/>
    <mergeCell ref="C327:C328"/>
    <mergeCell ref="J8:J9"/>
    <mergeCell ref="G183:G184"/>
    <mergeCell ref="E93:E94"/>
    <mergeCell ref="J219:J220"/>
    <mergeCell ref="H121:H122"/>
    <mergeCell ref="E391:E392"/>
    <mergeCell ref="C14:C15"/>
    <mergeCell ref="G149:G150"/>
    <mergeCell ref="J10:J11"/>
    <mergeCell ref="G185:G186"/>
    <mergeCell ref="G151:G152"/>
    <mergeCell ref="I213:I214"/>
    <mergeCell ref="B77:B78"/>
    <mergeCell ref="J179:J180"/>
    <mergeCell ref="C45:C46"/>
    <mergeCell ref="B253:B254"/>
    <mergeCell ref="A281:A282"/>
    <mergeCell ref="C343:C344"/>
    <mergeCell ref="A287:A288"/>
    <mergeCell ref="I243:I244"/>
    <mergeCell ref="I215:I216"/>
    <mergeCell ref="D141:D142"/>
    <mergeCell ref="B377:B378"/>
    <mergeCell ref="D135:D136"/>
    <mergeCell ref="F75:F76"/>
    <mergeCell ref="C345:C346"/>
    <mergeCell ref="C47:C48"/>
    <mergeCell ref="D12:D13"/>
    <mergeCell ref="D143:D144"/>
    <mergeCell ref="F199:F200"/>
    <mergeCell ref="G325:G326"/>
    <mergeCell ref="D37:D38"/>
    <mergeCell ref="H263:H264"/>
    <mergeCell ref="J21:J22"/>
    <mergeCell ref="B95:B96"/>
    <mergeCell ref="B393:B394"/>
    <mergeCell ref="I383:I384"/>
    <mergeCell ref="B281:B282"/>
    <mergeCell ref="F257:F258"/>
    <mergeCell ref="D159:D160"/>
    <mergeCell ref="B395:B396"/>
    <mergeCell ref="I385:I386"/>
    <mergeCell ref="I251:I252"/>
    <mergeCell ref="I139:I140"/>
    <mergeCell ref="D65:D66"/>
    <mergeCell ref="B121:B122"/>
    <mergeCell ref="J379:J380"/>
    <mergeCell ref="F129:F130"/>
    <mergeCell ref="C277:C278"/>
    <mergeCell ref="C59:C60"/>
    <mergeCell ref="A331:A332"/>
    <mergeCell ref="H187:H188"/>
    <mergeCell ref="I313:I314"/>
    <mergeCell ref="H189:H190"/>
    <mergeCell ref="J251:J252"/>
    <mergeCell ref="I8:I9"/>
    <mergeCell ref="B325:B326"/>
    <mergeCell ref="D83:D84"/>
    <mergeCell ref="B319:B320"/>
    <mergeCell ref="I315:I316"/>
    <mergeCell ref="D93:D94"/>
    <mergeCell ref="I10:I11"/>
    <mergeCell ref="D85:D86"/>
    <mergeCell ref="D207:D208"/>
    <mergeCell ref="D383:D384"/>
    <mergeCell ref="F157:F158"/>
    <mergeCell ref="F151:F152"/>
    <mergeCell ref="H213:H214"/>
    <mergeCell ref="F271:F272"/>
    <mergeCell ref="D385:D386"/>
    <mergeCell ref="H205:H206"/>
    <mergeCell ref="H215:H216"/>
    <mergeCell ref="C141:C142"/>
    <mergeCell ref="B47:B48"/>
    <mergeCell ref="B351:B352"/>
    <mergeCell ref="D109:D110"/>
    <mergeCell ref="B345:B346"/>
    <mergeCell ref="J6:J7"/>
    <mergeCell ref="C143:C144"/>
    <mergeCell ref="J279:J280"/>
    <mergeCell ref="B353:B354"/>
    <mergeCell ref="D111:D112"/>
    <mergeCell ref="G147:G148"/>
    <mergeCell ref="G263:G264"/>
    <mergeCell ref="I21:I22"/>
    <mergeCell ref="A95:A96"/>
    <mergeCell ref="A393:A394"/>
    <mergeCell ref="I211:I212"/>
    <mergeCell ref="B373:B374"/>
    <mergeCell ref="G265:G266"/>
    <mergeCell ref="C159:C160"/>
    <mergeCell ref="A395:A396"/>
    <mergeCell ref="F195:F196"/>
    <mergeCell ref="C125:C126"/>
    <mergeCell ref="G321:G322"/>
    <mergeCell ref="B189:B190"/>
    <mergeCell ref="D251:D252"/>
    <mergeCell ref="F197:F198"/>
    <mergeCell ref="H259:H260"/>
    <mergeCell ref="E129:E130"/>
    <mergeCell ref="B399:B400"/>
    <mergeCell ref="D35:D36"/>
    <mergeCell ref="B59:B60"/>
    <mergeCell ref="J361:J362"/>
    <mergeCell ref="J19:J20"/>
    <mergeCell ref="J317:J318"/>
    <mergeCell ref="I381:I382"/>
    <mergeCell ref="E131:E132"/>
    <mergeCell ref="F99:F100"/>
    <mergeCell ref="B61:B62"/>
    <mergeCell ref="F221:F222"/>
    <mergeCell ref="J319:J320"/>
    <mergeCell ref="F101:F102"/>
    <mergeCell ref="G189:G190"/>
    <mergeCell ref="H163:H164"/>
    <mergeCell ref="A27:A28"/>
    <mergeCell ref="B117:B118"/>
    <mergeCell ref="F223:F224"/>
    <mergeCell ref="G16:G18"/>
    <mergeCell ref="C93:C94"/>
    <mergeCell ref="H287:H288"/>
    <mergeCell ref="J45:J46"/>
    <mergeCell ref="I253:I254"/>
    <mergeCell ref="A327:A328"/>
    <mergeCell ref="J343:J344"/>
    <mergeCell ref="H281:H282"/>
    <mergeCell ref="B119:B120"/>
    <mergeCell ref="C57:C58"/>
    <mergeCell ref="A293:A294"/>
    <mergeCell ref="E113:E114"/>
    <mergeCell ref="J47:J48"/>
    <mergeCell ref="J345:J346"/>
    <mergeCell ref="E271:E272"/>
    <mergeCell ref="C385:C386"/>
    <mergeCell ref="D177:D178"/>
    <mergeCell ref="E115:E116"/>
    <mergeCell ref="A53:A54"/>
    <mergeCell ref="G215:G216"/>
    <mergeCell ref="E273:E274"/>
    <mergeCell ref="F241:F242"/>
    <mergeCell ref="A167:A168"/>
    <mergeCell ref="I6:I7"/>
    <mergeCell ref="I279:I280"/>
    <mergeCell ref="A353:A354"/>
    <mergeCell ref="C111:C112"/>
    <mergeCell ref="I393:I394"/>
    <mergeCell ref="D49:D50"/>
    <mergeCell ref="A319:A320"/>
    <mergeCell ref="I281:I282"/>
    <mergeCell ref="E175:E176"/>
    <mergeCell ref="C85:C86"/>
    <mergeCell ref="H211:H212"/>
    <mergeCell ref="H2:H3"/>
    <mergeCell ref="E177:E178"/>
    <mergeCell ref="J269:J270"/>
    <mergeCell ref="G205:G206"/>
    <mergeCell ref="J91:J92"/>
    <mergeCell ref="A37:A38"/>
    <mergeCell ref="J389:J390"/>
    <mergeCell ref="A195:A196"/>
    <mergeCell ref="E197:E198"/>
    <mergeCell ref="G259:G260"/>
    <mergeCell ref="B127:B128"/>
    <mergeCell ref="C253:C254"/>
    <mergeCell ref="G261:G262"/>
    <mergeCell ref="I19:I20"/>
    <mergeCell ref="H351:H352"/>
    <mergeCell ref="D191:D192"/>
    <mergeCell ref="H387:H388"/>
    <mergeCell ref="E317:E318"/>
    <mergeCell ref="G75:G76"/>
    <mergeCell ref="I319:I320"/>
    <mergeCell ref="D247:D248"/>
    <mergeCell ref="E223:E224"/>
    <mergeCell ref="D249:D250"/>
    <mergeCell ref="E231:E232"/>
    <mergeCell ref="G287:G288"/>
    <mergeCell ref="G279:G280"/>
    <mergeCell ref="F307:F308"/>
    <mergeCell ref="B57:B58"/>
    <mergeCell ref="I53:I54"/>
    <mergeCell ref="G289:G290"/>
    <mergeCell ref="I351:I352"/>
    <mergeCell ref="F8:F9"/>
    <mergeCell ref="I47:I48"/>
    <mergeCell ref="I345:I346"/>
    <mergeCell ref="C183:C184"/>
    <mergeCell ref="H371:H372"/>
    <mergeCell ref="D273:D274"/>
    <mergeCell ref="E241:E242"/>
    <mergeCell ref="E399:E400"/>
    <mergeCell ref="H283:H284"/>
    <mergeCell ref="F179:F180"/>
    <mergeCell ref="F39:F40"/>
    <mergeCell ref="F337:F338"/>
    <mergeCell ref="E243:E244"/>
    <mergeCell ref="G305:G306"/>
    <mergeCell ref="I63:I64"/>
    <mergeCell ref="H285:H286"/>
    <mergeCell ref="J43:J44"/>
    <mergeCell ref="H67:H68"/>
    <mergeCell ref="J341:J342"/>
    <mergeCell ref="B75:B76"/>
    <mergeCell ref="J159:J160"/>
    <mergeCell ref="G307:G308"/>
    <mergeCell ref="H397:H398"/>
    <mergeCell ref="B85:B86"/>
    <mergeCell ref="G2:G3"/>
    <mergeCell ref="B199:B200"/>
    <mergeCell ref="C325:C326"/>
    <mergeCell ref="B385:B386"/>
    <mergeCell ref="F205:F206"/>
    <mergeCell ref="I91:I92"/>
    <mergeCell ref="G327:G328"/>
    <mergeCell ref="I389:I390"/>
    <mergeCell ref="I277:I278"/>
    <mergeCell ref="E383:E384"/>
    <mergeCell ref="A133:A134"/>
    <mergeCell ref="I391:I392"/>
    <mergeCell ref="E385:E386"/>
    <mergeCell ref="I205:I206"/>
    <mergeCell ref="E173:E174"/>
    <mergeCell ref="A135:A136"/>
    <mergeCell ref="D317:D318"/>
    <mergeCell ref="H27:H28"/>
    <mergeCell ref="I117:I118"/>
    <mergeCell ref="G353:G354"/>
    <mergeCell ref="E255:E256"/>
    <mergeCell ref="B129:B130"/>
    <mergeCell ref="B123:B124"/>
    <mergeCell ref="G361:G362"/>
    <mergeCell ref="H327:H328"/>
    <mergeCell ref="I119:I120"/>
    <mergeCell ref="I295:I296"/>
    <mergeCell ref="D231:D232"/>
    <mergeCell ref="D187:D188"/>
    <mergeCell ref="E313:E314"/>
    <mergeCell ref="H53:H54"/>
    <mergeCell ref="D189:D190"/>
    <mergeCell ref="F289:F290"/>
    <mergeCell ref="E8:E9"/>
    <mergeCell ref="G371:G372"/>
    <mergeCell ref="C121:C122"/>
    <mergeCell ref="H55:H56"/>
    <mergeCell ref="J117:J118"/>
    <mergeCell ref="H353:H354"/>
    <mergeCell ref="E10:E11"/>
    <mergeCell ref="J83:J84"/>
    <mergeCell ref="B157:B158"/>
    <mergeCell ref="C123:C124"/>
    <mergeCell ref="G283:G284"/>
    <mergeCell ref="B151:B152"/>
    <mergeCell ref="D213:D214"/>
    <mergeCell ref="G285:G286"/>
    <mergeCell ref="I43:I44"/>
    <mergeCell ref="I341:I342"/>
    <mergeCell ref="D215:D216"/>
    <mergeCell ref="I51:I52"/>
    <mergeCell ref="I349:I350"/>
    <mergeCell ref="H37:H38"/>
    <mergeCell ref="A199:A200"/>
    <mergeCell ref="H91:H92"/>
    <mergeCell ref="C263:C264"/>
    <mergeCell ref="E21:E22"/>
    <mergeCell ref="B327:B328"/>
    <mergeCell ref="D389:D390"/>
    <mergeCell ref="C151:C152"/>
    <mergeCell ref="F335:F336"/>
    <mergeCell ref="J155:J156"/>
    <mergeCell ref="C265:C266"/>
    <mergeCell ref="J157:J158"/>
    <mergeCell ref="C321:C322"/>
    <mergeCell ref="D139:D140"/>
    <mergeCell ref="D259:D260"/>
    <mergeCell ref="F203:F204"/>
    <mergeCell ref="A129:A130"/>
    <mergeCell ref="F361:F362"/>
    <mergeCell ref="H119:H120"/>
    <mergeCell ref="F317:F318"/>
    <mergeCell ref="E381:E382"/>
    <mergeCell ref="A131:A132"/>
    <mergeCell ref="J25:J26"/>
    <mergeCell ref="J183:J184"/>
    <mergeCell ref="B257:B258"/>
    <mergeCell ref="D313:D314"/>
    <mergeCell ref="C189:C190"/>
    <mergeCell ref="E251:E252"/>
    <mergeCell ref="J185:J186"/>
    <mergeCell ref="D315:D316"/>
    <mergeCell ref="C16:C18"/>
    <mergeCell ref="E253:E254"/>
    <mergeCell ref="F343:F344"/>
    <mergeCell ref="F379:F380"/>
    <mergeCell ref="H137:H138"/>
    <mergeCell ref="A157:A158"/>
    <mergeCell ref="G141:G142"/>
    <mergeCell ref="I75:I76"/>
    <mergeCell ref="A149:A150"/>
    <mergeCell ref="A271:A272"/>
    <mergeCell ref="H261:H262"/>
    <mergeCell ref="F285:F286"/>
    <mergeCell ref="C215:C216"/>
    <mergeCell ref="H51:H52"/>
    <mergeCell ref="H349:H350"/>
    <mergeCell ref="J107:J108"/>
    <mergeCell ref="E279:E280"/>
    <mergeCell ref="G37:G38"/>
    <mergeCell ref="E281:E282"/>
    <mergeCell ref="A175:A176"/>
    <mergeCell ref="C91:C92"/>
    <mergeCell ref="D211:D212"/>
    <mergeCell ref="D29:D30"/>
    <mergeCell ref="B265:B266"/>
    <mergeCell ref="C355:C356"/>
    <mergeCell ref="C391:C392"/>
    <mergeCell ref="F275:F276"/>
    <mergeCell ref="H33:H34"/>
    <mergeCell ref="D31:D32"/>
    <mergeCell ref="D329:D330"/>
    <mergeCell ref="F87:F88"/>
    <mergeCell ref="I129:I130"/>
    <mergeCell ref="E151:E152"/>
    <mergeCell ref="H35:H36"/>
    <mergeCell ref="F6:F7"/>
    <mergeCell ref="H333:H334"/>
    <mergeCell ref="A197:A198"/>
    <mergeCell ref="C259:C260"/>
    <mergeCell ref="H193:H194"/>
    <mergeCell ref="J249:J250"/>
    <mergeCell ref="B323:B324"/>
    <mergeCell ref="C261:C262"/>
    <mergeCell ref="E19:E20"/>
    <mergeCell ref="J257:J258"/>
    <mergeCell ref="D387:D388"/>
    <mergeCell ref="A317:A318"/>
    <mergeCell ref="C75:C76"/>
    <mergeCell ref="I25:I26"/>
    <mergeCell ref="G83:G84"/>
    <mergeCell ref="E319:E320"/>
    <mergeCell ref="G93:G94"/>
    <mergeCell ref="I155:I156"/>
    <mergeCell ref="G269:G270"/>
    <mergeCell ref="A101:A102"/>
    <mergeCell ref="C163:C164"/>
    <mergeCell ref="A223:A224"/>
    <mergeCell ref="G383:G384"/>
    <mergeCell ref="I157:I158"/>
    <mergeCell ref="J267:J268"/>
    <mergeCell ref="A231:A232"/>
    <mergeCell ref="C165:C166"/>
    <mergeCell ref="E45:E46"/>
    <mergeCell ref="C287:C288"/>
    <mergeCell ref="J277:J278"/>
    <mergeCell ref="E53:E54"/>
    <mergeCell ref="F19:F20"/>
    <mergeCell ref="C289:C290"/>
    <mergeCell ref="E351:E352"/>
    <mergeCell ref="G109:G110"/>
    <mergeCell ref="E47:E48"/>
    <mergeCell ref="E345:E346"/>
    <mergeCell ref="J181:J182"/>
    <mergeCell ref="F143:F144"/>
    <mergeCell ref="G111:G112"/>
    <mergeCell ref="A241:A242"/>
    <mergeCell ref="A399:A400"/>
    <mergeCell ref="B223:B224"/>
    <mergeCell ref="B179:B180"/>
    <mergeCell ref="B337:B338"/>
    <mergeCell ref="A243:A244"/>
    <mergeCell ref="C305:C306"/>
    <mergeCell ref="E63:E64"/>
    <mergeCell ref="E221:E222"/>
    <mergeCell ref="F45:F46"/>
    <mergeCell ref="D281:D282"/>
    <mergeCell ref="C211:C212"/>
    <mergeCell ref="A113:A114"/>
    <mergeCell ref="F47:F48"/>
    <mergeCell ref="C2:C3"/>
    <mergeCell ref="J321:J322"/>
    <mergeCell ref="G33:G34"/>
    <mergeCell ref="B205:B206"/>
    <mergeCell ref="I343:I344"/>
    <mergeCell ref="B241:B242"/>
    <mergeCell ref="J323:J324"/>
    <mergeCell ref="G41:G42"/>
    <mergeCell ref="E277:E278"/>
    <mergeCell ref="G35:G36"/>
    <mergeCell ref="G333:G334"/>
    <mergeCell ref="G193:G194"/>
    <mergeCell ref="I99:I100"/>
    <mergeCell ref="I397:I398"/>
    <mergeCell ref="B261:B262"/>
    <mergeCell ref="I257:I258"/>
    <mergeCell ref="J347:J348"/>
    <mergeCell ref="C387:C388"/>
    <mergeCell ref="I101:I102"/>
    <mergeCell ref="D27:D28"/>
    <mergeCell ref="D325:D326"/>
    <mergeCell ref="E117:E118"/>
    <mergeCell ref="C353:C354"/>
    <mergeCell ref="F83:F84"/>
    <mergeCell ref="A255:A256"/>
    <mergeCell ref="J349:J350"/>
    <mergeCell ref="J16:J18"/>
    <mergeCell ref="G209:G210"/>
    <mergeCell ref="F85:F86"/>
    <mergeCell ref="F383:F384"/>
    <mergeCell ref="G175:G176"/>
    <mergeCell ref="H157:H158"/>
    <mergeCell ref="B287:B288"/>
    <mergeCell ref="H149:H150"/>
    <mergeCell ref="F385:F386"/>
    <mergeCell ref="G177:G178"/>
    <mergeCell ref="J205:J206"/>
    <mergeCell ref="A313:A314"/>
    <mergeCell ref="G335:G336"/>
    <mergeCell ref="I269:I270"/>
    <mergeCell ref="D53:D54"/>
    <mergeCell ref="B289:B290"/>
    <mergeCell ref="D351:D352"/>
    <mergeCell ref="F109:F110"/>
    <mergeCell ref="A8:A9"/>
    <mergeCell ref="I241:I242"/>
    <mergeCell ref="I399:I400"/>
    <mergeCell ref="C371:C372"/>
    <mergeCell ref="D55:D56"/>
    <mergeCell ref="F117:F118"/>
    <mergeCell ref="D353:D354"/>
    <mergeCell ref="F111:F112"/>
    <mergeCell ref="A10:A11"/>
    <mergeCell ref="H175:H176"/>
    <mergeCell ref="A39:A40"/>
    <mergeCell ref="G203:G204"/>
    <mergeCell ref="A337:A338"/>
    <mergeCell ref="B305:B306"/>
    <mergeCell ref="H177:H178"/>
    <mergeCell ref="C103:C104"/>
    <mergeCell ref="B131:B132"/>
    <mergeCell ref="I267:I268"/>
    <mergeCell ref="B307:B308"/>
    <mergeCell ref="E51:E52"/>
    <mergeCell ref="B8:B9"/>
    <mergeCell ref="B2:B3"/>
    <mergeCell ref="D371:D372"/>
    <mergeCell ref="F251:F252"/>
    <mergeCell ref="I171:I172"/>
    <mergeCell ref="A205:A206"/>
    <mergeCell ref="I323:I324"/>
    <mergeCell ref="J147:J148"/>
    <mergeCell ref="F253:F254"/>
    <mergeCell ref="F41:F42"/>
    <mergeCell ref="D277:D278"/>
    <mergeCell ref="B335:B336"/>
    <mergeCell ref="F155:F156"/>
    <mergeCell ref="J75:J76"/>
    <mergeCell ref="F43:F44"/>
    <mergeCell ref="F341:F342"/>
    <mergeCell ref="H99:H100"/>
    <mergeCell ref="H101:H102"/>
    <mergeCell ref="J163:J164"/>
    <mergeCell ref="I16:I18"/>
    <mergeCell ref="A83:A84"/>
    <mergeCell ref="B203:B204"/>
    <mergeCell ref="J287:J288"/>
    <mergeCell ref="B361:B362"/>
    <mergeCell ref="D119:D120"/>
    <mergeCell ref="B21:B22"/>
    <mergeCell ref="A383:A384"/>
    <mergeCell ref="F25:F26"/>
    <mergeCell ref="J289:J290"/>
    <mergeCell ref="F183:F184"/>
    <mergeCell ref="E205:E206"/>
    <mergeCell ref="A251:A252"/>
    <mergeCell ref="F185:F186"/>
    <mergeCell ref="H247:H248"/>
    <mergeCell ref="H241:H242"/>
    <mergeCell ref="H399:H400"/>
    <mergeCell ref="M16:M17"/>
    <mergeCell ref="C55:C56"/>
    <mergeCell ref="H243:H244"/>
    <mergeCell ref="J305:J306"/>
    <mergeCell ref="B379:B380"/>
    <mergeCell ref="D137:D138"/>
    <mergeCell ref="E119:E120"/>
    <mergeCell ref="E75:E76"/>
    <mergeCell ref="J307:J308"/>
    <mergeCell ref="E85:E86"/>
    <mergeCell ref="B285:B286"/>
    <mergeCell ref="J2:J3"/>
    <mergeCell ref="D51:D52"/>
    <mergeCell ref="D349:D350"/>
    <mergeCell ref="F107:F108"/>
    <mergeCell ref="A279:A280"/>
    <mergeCell ref="C37:C38"/>
    <mergeCell ref="H171:H172"/>
    <mergeCell ref="H173:H174"/>
    <mergeCell ref="A335:A336"/>
    <mergeCell ref="J229:J230"/>
    <mergeCell ref="E155:E156"/>
    <mergeCell ref="J387:J388"/>
    <mergeCell ref="J55:J56"/>
    <mergeCell ref="C399:C400"/>
    <mergeCell ref="E157:E158"/>
    <mergeCell ref="B6:B7"/>
    <mergeCell ref="A151:A152"/>
    <mergeCell ref="C213:C214"/>
    <mergeCell ref="D193:D194"/>
    <mergeCell ref="G221:G222"/>
    <mergeCell ref="F249:F250"/>
    <mergeCell ref="A203:A204"/>
    <mergeCell ref="G231:G232"/>
    <mergeCell ref="A361:A362"/>
    <mergeCell ref="H313:H314"/>
    <mergeCell ref="J71:J72"/>
    <mergeCell ref="E25:E26"/>
    <mergeCell ref="H8:H9"/>
    <mergeCell ref="E183:E184"/>
    <mergeCell ref="H315:H316"/>
    <mergeCell ref="J73:J74"/>
    <mergeCell ref="J371:J372"/>
    <mergeCell ref="H10:H11"/>
    <mergeCell ref="E185:E186"/>
    <mergeCell ref="G247:G248"/>
    <mergeCell ref="A79:A80"/>
    <mergeCell ref="F267:F268"/>
    <mergeCell ref="A45:A46"/>
    <mergeCell ref="A343:A344"/>
    <mergeCell ref="H41:H42"/>
    <mergeCell ref="G249:G250"/>
    <mergeCell ref="G243:G244"/>
    <mergeCell ref="I305:I306"/>
    <mergeCell ref="F277:F278"/>
    <mergeCell ref="A379:A380"/>
    <mergeCell ref="J285:J286"/>
    <mergeCell ref="A351:A352"/>
    <mergeCell ref="C109:C110"/>
    <mergeCell ref="D75:D76"/>
    <mergeCell ref="A345:A346"/>
    <mergeCell ref="H341:H342"/>
    <mergeCell ref="I307:I308"/>
    <mergeCell ref="J99:J100"/>
    <mergeCell ref="A381:A382"/>
    <mergeCell ref="J397:J398"/>
    <mergeCell ref="C139:C140"/>
    <mergeCell ref="E201:E202"/>
    <mergeCell ref="B143:B144"/>
    <mergeCell ref="J101:J102"/>
    <mergeCell ref="E27:E28"/>
    <mergeCell ref="I219:I220"/>
    <mergeCell ref="E325:E326"/>
    <mergeCell ref="C51:C52"/>
    <mergeCell ref="F149:F150"/>
    <mergeCell ref="G91:G92"/>
    <mergeCell ref="A63:A64"/>
    <mergeCell ref="E327:E328"/>
    <mergeCell ref="G389:G390"/>
    <mergeCell ref="B45:B46"/>
    <mergeCell ref="B343:B344"/>
    <mergeCell ref="E81:E82"/>
    <mergeCell ref="G391:G392"/>
    <mergeCell ref="I149:I150"/>
    <mergeCell ref="G173:G174"/>
    <mergeCell ref="I237:I238"/>
    <mergeCell ref="E343:E344"/>
    <mergeCell ref="I203:I204"/>
    <mergeCell ref="A6:A7"/>
    <mergeCell ref="I361:I362"/>
    <mergeCell ref="C193:C194"/>
    <mergeCell ref="E99:E100"/>
    <mergeCell ref="J331:J332"/>
    <mergeCell ref="E257:E258"/>
    <mergeCell ref="G313:G314"/>
    <mergeCell ref="B83:B84"/>
    <mergeCell ref="I79:I80"/>
    <mergeCell ref="G315:G316"/>
    <mergeCell ref="F16:F18"/>
    <mergeCell ref="C209:C210"/>
    <mergeCell ref="B269:B270"/>
    <mergeCell ref="B383:B384"/>
    <mergeCell ref="I81:I82"/>
    <mergeCell ref="I379:I380"/>
    <mergeCell ref="D157:D158"/>
    <mergeCell ref="E269:E270"/>
    <mergeCell ref="B109:B110"/>
    <mergeCell ref="E285:E286"/>
    <mergeCell ref="G43:G44"/>
    <mergeCell ref="I105:I106"/>
    <mergeCell ref="G341:G342"/>
    <mergeCell ref="H6:H7"/>
    <mergeCell ref="H279:H280"/>
    <mergeCell ref="J37:J38"/>
    <mergeCell ref="B111:B112"/>
    <mergeCell ref="G245:G246"/>
    <mergeCell ref="C207:C208"/>
    <mergeCell ref="D175:D176"/>
    <mergeCell ref="D327:D328"/>
    <mergeCell ref="F389:F390"/>
    <mergeCell ref="G29:G30"/>
    <mergeCell ref="A47:A48"/>
    <mergeCell ref="J395:J396"/>
    <mergeCell ref="E321:E322"/>
    <mergeCell ref="B251:B252"/>
    <mergeCell ref="E323:E324"/>
    <mergeCell ref="F147:F148"/>
    <mergeCell ref="B41:B42"/>
    <mergeCell ref="G387:G388"/>
    <mergeCell ref="I145:I146"/>
    <mergeCell ref="G381:G382"/>
    <mergeCell ref="B43:B44"/>
    <mergeCell ref="B341:B342"/>
    <mergeCell ref="D99:D100"/>
    <mergeCell ref="D397:D398"/>
    <mergeCell ref="D257:D258"/>
    <mergeCell ref="I147:I148"/>
    <mergeCell ref="D101:D102"/>
    <mergeCell ref="F163:F164"/>
    <mergeCell ref="F321:F322"/>
    <mergeCell ref="H79:H80"/>
    <mergeCell ref="E349:E350"/>
    <mergeCell ref="F315:F316"/>
    <mergeCell ref="E16:E18"/>
    <mergeCell ref="F287:F288"/>
    <mergeCell ref="A91:A92"/>
    <mergeCell ref="H45:H46"/>
    <mergeCell ref="A389:A390"/>
    <mergeCell ref="A85:A86"/>
    <mergeCell ref="F323:F324"/>
    <mergeCell ref="H81:H82"/>
    <mergeCell ref="H379:H380"/>
    <mergeCell ref="J137:J138"/>
    <mergeCell ref="B211:B212"/>
    <mergeCell ref="H47:H48"/>
    <mergeCell ref="J109:J110"/>
    <mergeCell ref="B183:B184"/>
    <mergeCell ref="C149:C150"/>
    <mergeCell ref="J145:J146"/>
    <mergeCell ref="H381:H382"/>
    <mergeCell ref="I173:I174"/>
    <mergeCell ref="J139:J140"/>
    <mergeCell ref="J111:J112"/>
    <mergeCell ref="B185:B186"/>
    <mergeCell ref="D241:D242"/>
    <mergeCell ref="D399:D400"/>
    <mergeCell ref="J51:J52"/>
    <mergeCell ref="A117:A118"/>
    <mergeCell ref="A111:A112"/>
    <mergeCell ref="C6:C7"/>
    <mergeCell ref="D243:D244"/>
    <mergeCell ref="F305:F306"/>
    <mergeCell ref="H63:H64"/>
    <mergeCell ref="H221:H222"/>
    <mergeCell ref="I45:I46"/>
    <mergeCell ref="A119:A120"/>
    <mergeCell ref="C175:C176"/>
    <mergeCell ref="G39:G40"/>
    <mergeCell ref="F2:F3"/>
    <mergeCell ref="C177:C178"/>
    <mergeCell ref="D267:D268"/>
    <mergeCell ref="G339:G340"/>
    <mergeCell ref="F33:F34"/>
    <mergeCell ref="D269:D270"/>
    <mergeCell ref="H277:H278"/>
    <mergeCell ref="J35:J36"/>
    <mergeCell ref="J193:J194"/>
    <mergeCell ref="F333:F334"/>
    <mergeCell ref="A259:A260"/>
    <mergeCell ref="A253:A254"/>
    <mergeCell ref="F387:F388"/>
    <mergeCell ref="C19:C20"/>
    <mergeCell ref="A261:A262"/>
    <mergeCell ref="C317:C318"/>
    <mergeCell ref="A43:A44"/>
    <mergeCell ref="G27:G28"/>
    <mergeCell ref="H147:H148"/>
    <mergeCell ref="E83:E84"/>
    <mergeCell ref="J209:J210"/>
    <mergeCell ref="C319:C320"/>
    <mergeCell ref="C107:C108"/>
    <mergeCell ref="C101:C102"/>
    <mergeCell ref="C221:C222"/>
    <mergeCell ref="C73:C74"/>
    <mergeCell ref="J211:J212"/>
    <mergeCell ref="C231:C232"/>
    <mergeCell ref="D341:D342"/>
    <mergeCell ref="E165:E166"/>
    <mergeCell ref="G53:G54"/>
    <mergeCell ref="A183:A184"/>
    <mergeCell ref="G55:G56"/>
    <mergeCell ref="I111:I112"/>
    <mergeCell ref="A185:A186"/>
    <mergeCell ref="C247:C248"/>
    <mergeCell ref="C241:C242"/>
    <mergeCell ref="J237:J238"/>
    <mergeCell ref="C249:C250"/>
    <mergeCell ref="C243:C244"/>
    <mergeCell ref="E305:E306"/>
    <mergeCell ref="J239:J240"/>
    <mergeCell ref="H347:H348"/>
    <mergeCell ref="J105:J106"/>
    <mergeCell ref="I169:I170"/>
    <mergeCell ref="G71:G72"/>
    <mergeCell ref="E307:E308"/>
    <mergeCell ref="A201:A202"/>
    <mergeCell ref="K16:K17"/>
    <mergeCell ref="E219:E220"/>
    <mergeCell ref="A325:A326"/>
    <mergeCell ref="B149:B150"/>
    <mergeCell ref="E33:E34"/>
    <mergeCell ref="C269:C270"/>
    <mergeCell ref="C389:C390"/>
    <mergeCell ref="I41:I42"/>
    <mergeCell ref="C383:C384"/>
    <mergeCell ref="E35:E36"/>
    <mergeCell ref="E333:E334"/>
    <mergeCell ref="H219:H220"/>
    <mergeCell ref="G397:G398"/>
    <mergeCell ref="B19:B20"/>
    <mergeCell ref="J283:J284"/>
    <mergeCell ref="B317:B318"/>
    <mergeCell ref="G213:G214"/>
    <mergeCell ref="F27:F28"/>
    <mergeCell ref="E237:E238"/>
    <mergeCell ref="F357:F358"/>
    <mergeCell ref="E361:E362"/>
    <mergeCell ref="G119:G120"/>
    <mergeCell ref="I59:I60"/>
    <mergeCell ref="H87:H88"/>
    <mergeCell ref="B221:B222"/>
    <mergeCell ref="G295:G296"/>
    <mergeCell ref="H245:H246"/>
    <mergeCell ref="I183:I184"/>
    <mergeCell ref="A257:A258"/>
    <mergeCell ref="C313:C314"/>
    <mergeCell ref="F53:F54"/>
    <mergeCell ref="I185:I186"/>
    <mergeCell ref="E79:E80"/>
    <mergeCell ref="C315:C316"/>
    <mergeCell ref="E73:E74"/>
    <mergeCell ref="E371:E372"/>
    <mergeCell ref="F55:F56"/>
    <mergeCell ref="H117:H118"/>
    <mergeCell ref="C10:C11"/>
    <mergeCell ref="B247:B248"/>
    <mergeCell ref="G181:G182"/>
    <mergeCell ref="E379:E380"/>
    <mergeCell ref="G137:G138"/>
    <mergeCell ref="J175:J176"/>
    <mergeCell ref="C41:C42"/>
    <mergeCell ref="B249:B250"/>
    <mergeCell ref="G139:G140"/>
    <mergeCell ref="I239:I240"/>
    <mergeCell ref="I201:I202"/>
    <mergeCell ref="A269:A270"/>
    <mergeCell ref="J177:J178"/>
    <mergeCell ref="A285:A286"/>
    <mergeCell ref="C43:C44"/>
    <mergeCell ref="E105:E106"/>
    <mergeCell ref="F71:F72"/>
    <mergeCell ref="C341:C342"/>
    <mergeCell ref="D307:D308"/>
    <mergeCell ref="G51:G52"/>
    <mergeCell ref="G349:G350"/>
    <mergeCell ref="I107:I108"/>
    <mergeCell ref="D8:D9"/>
    <mergeCell ref="D279:D280"/>
    <mergeCell ref="F37:F38"/>
    <mergeCell ref="J233:J234"/>
    <mergeCell ref="F73:F74"/>
    <mergeCell ref="E101:E102"/>
    <mergeCell ref="F371:F372"/>
    <mergeCell ref="G163:G164"/>
    <mergeCell ref="D10:D11"/>
    <mergeCell ref="J235:J236"/>
    <mergeCell ref="G165:G166"/>
    <mergeCell ref="B91:B92"/>
    <mergeCell ref="B389:B390"/>
    <mergeCell ref="D333:D334"/>
    <mergeCell ref="B93:B94"/>
    <mergeCell ref="D155:D156"/>
    <mergeCell ref="B391:B392"/>
    <mergeCell ref="H43:H44"/>
    <mergeCell ref="D149:D150"/>
    <mergeCell ref="B145:B146"/>
    <mergeCell ref="I283:I284"/>
    <mergeCell ref="F213:F214"/>
    <mergeCell ref="I285:I286"/>
    <mergeCell ref="J375:J376"/>
    <mergeCell ref="E31:E32"/>
    <mergeCell ref="H183:H184"/>
    <mergeCell ref="E331:E332"/>
    <mergeCell ref="G89:G90"/>
    <mergeCell ref="D25:D26"/>
    <mergeCell ref="I309:I310"/>
    <mergeCell ref="H185:H186"/>
    <mergeCell ref="J247:J248"/>
    <mergeCell ref="B321:B322"/>
    <mergeCell ref="I153:I154"/>
    <mergeCell ref="D79:D80"/>
    <mergeCell ref="B315:B316"/>
    <mergeCell ref="A16:A18"/>
    <mergeCell ref="I311:I312"/>
    <mergeCell ref="D81:D82"/>
    <mergeCell ref="J243:J244"/>
    <mergeCell ref="D379:D380"/>
    <mergeCell ref="F137:F138"/>
    <mergeCell ref="F145:F146"/>
    <mergeCell ref="D381:D382"/>
    <mergeCell ref="F139:F140"/>
    <mergeCell ref="H201:H202"/>
    <mergeCell ref="A221:A222"/>
    <mergeCell ref="I181:I182"/>
    <mergeCell ref="D105:D106"/>
    <mergeCell ref="H325:H326"/>
    <mergeCell ref="H203:H204"/>
    <mergeCell ref="F51:F52"/>
    <mergeCell ref="B333:B334"/>
    <mergeCell ref="B349:B350"/>
    <mergeCell ref="D107:D108"/>
    <mergeCell ref="B16:B18"/>
    <mergeCell ref="F165:F166"/>
    <mergeCell ref="J173:J174"/>
    <mergeCell ref="C39:C40"/>
    <mergeCell ref="A93:A94"/>
    <mergeCell ref="C155:C156"/>
    <mergeCell ref="H229:H230"/>
    <mergeCell ref="A391:A392"/>
    <mergeCell ref="B359:B360"/>
    <mergeCell ref="C339:C340"/>
    <mergeCell ref="G159:G160"/>
    <mergeCell ref="C157:C158"/>
    <mergeCell ref="D6:D7"/>
    <mergeCell ref="E213:E214"/>
    <mergeCell ref="F193:F194"/>
    <mergeCell ref="G161:G162"/>
    <mergeCell ref="H257:H258"/>
    <mergeCell ref="I225:I226"/>
    <mergeCell ref="J313:J314"/>
    <mergeCell ref="B387:B388"/>
    <mergeCell ref="A75:A76"/>
    <mergeCell ref="C25:C26"/>
    <mergeCell ref="J315:J316"/>
    <mergeCell ref="D147:D148"/>
    <mergeCell ref="F209:F210"/>
    <mergeCell ref="F97:F98"/>
    <mergeCell ref="F219:F220"/>
    <mergeCell ref="A321:A322"/>
    <mergeCell ref="H153:H154"/>
    <mergeCell ref="F211:F212"/>
    <mergeCell ref="H267:H268"/>
    <mergeCell ref="A165:A166"/>
    <mergeCell ref="J41:J42"/>
    <mergeCell ref="I249:I250"/>
    <mergeCell ref="A323:A324"/>
    <mergeCell ref="C81:C82"/>
    <mergeCell ref="J217:J218"/>
    <mergeCell ref="H275:H276"/>
    <mergeCell ref="C53:C54"/>
    <mergeCell ref="D19:D20"/>
    <mergeCell ref="A289:A290"/>
    <mergeCell ref="C351:C352"/>
    <mergeCell ref="E109:E110"/>
    <mergeCell ref="E145:E146"/>
    <mergeCell ref="C381:C382"/>
    <mergeCell ref="J377:J378"/>
    <mergeCell ref="H181:H182"/>
    <mergeCell ref="E111:E112"/>
    <mergeCell ref="E147:E148"/>
    <mergeCell ref="F237:F238"/>
    <mergeCell ref="J245:J246"/>
    <mergeCell ref="A51:A52"/>
    <mergeCell ref="A305:A306"/>
    <mergeCell ref="C63:C64"/>
    <mergeCell ref="J59:J60"/>
    <mergeCell ref="H295:H296"/>
    <mergeCell ref="D45:D46"/>
    <mergeCell ref="C71:C72"/>
    <mergeCell ref="E171:E172"/>
    <mergeCell ref="A307:A308"/>
    <mergeCell ref="J359:J360"/>
    <mergeCell ref="D47:D48"/>
    <mergeCell ref="A2:A3"/>
    <mergeCell ref="H321:H322"/>
    <mergeCell ref="A219:A220"/>
    <mergeCell ref="G229:G230"/>
    <mergeCell ref="D103:D104"/>
    <mergeCell ref="J265:J266"/>
    <mergeCell ref="A33:A34"/>
    <mergeCell ref="E41:E42"/>
    <mergeCell ref="E193:E194"/>
    <mergeCell ref="A35:A36"/>
    <mergeCell ref="D63:D64"/>
    <mergeCell ref="A333:A334"/>
    <mergeCell ref="G99:G100"/>
    <mergeCell ref="G257:G258"/>
    <mergeCell ref="L16:L17"/>
    <mergeCell ref="H225:H226"/>
    <mergeCell ref="A387:A388"/>
    <mergeCell ref="C397:C398"/>
    <mergeCell ref="F283:F284"/>
    <mergeCell ref="G101:G102"/>
    <mergeCell ref="B27:B28"/>
    <mergeCell ref="I321:I322"/>
    <mergeCell ref="H227:H228"/>
    <mergeCell ref="H16:H18"/>
    <mergeCell ref="E211:E212"/>
    <mergeCell ref="F35:F36"/>
    <mergeCell ref="G275:G276"/>
    <mergeCell ref="I33:I34"/>
    <mergeCell ref="D205:D206"/>
    <mergeCell ref="B53:B54"/>
    <mergeCell ref="A371:A372"/>
    <mergeCell ref="G277:G278"/>
    <mergeCell ref="H367:H368"/>
    <mergeCell ref="I333:I334"/>
    <mergeCell ref="B55:B56"/>
    <mergeCell ref="D117:D118"/>
    <mergeCell ref="C181:C182"/>
    <mergeCell ref="I245:I246"/>
    <mergeCell ref="F175:F176"/>
    <mergeCell ref="E239:E240"/>
    <mergeCell ref="G301:G302"/>
    <mergeCell ref="J39:J40"/>
    <mergeCell ref="J337:J338"/>
    <mergeCell ref="F177:F178"/>
    <mergeCell ref="B71:B72"/>
    <mergeCell ref="J373:J374"/>
    <mergeCell ref="G303:G304"/>
    <mergeCell ref="I61:I62"/>
    <mergeCell ref="I359:I360"/>
    <mergeCell ref="J339:J340"/>
    <mergeCell ref="F233:F234"/>
    <mergeCell ref="B195:B196"/>
    <mergeCell ref="B73:B74"/>
    <mergeCell ref="B371:B372"/>
    <mergeCell ref="B231:B232"/>
    <mergeCell ref="F235:F236"/>
    <mergeCell ref="G323:G324"/>
    <mergeCell ref="H297:H298"/>
    <mergeCell ref="D253:D254"/>
    <mergeCell ref="B283:B284"/>
    <mergeCell ref="D41:D42"/>
    <mergeCell ref="F351:F352"/>
    <mergeCell ref="I387:I388"/>
    <mergeCell ref="H293:H294"/>
    <mergeCell ref="J355:J356"/>
    <mergeCell ref="C219:C220"/>
    <mergeCell ref="D43:D44"/>
    <mergeCell ref="F105:F106"/>
    <mergeCell ref="E169:E170"/>
    <mergeCell ref="B99:B100"/>
    <mergeCell ref="G225:G226"/>
    <mergeCell ref="B397:B398"/>
    <mergeCell ref="J357:J358"/>
    <mergeCell ref="E283:E284"/>
    <mergeCell ref="G227:G228"/>
    <mergeCell ref="G347:G348"/>
    <mergeCell ref="H165:H166"/>
    <mergeCell ref="A31:A32"/>
    <mergeCell ref="H323:H324"/>
    <mergeCell ref="J81:J82"/>
    <mergeCell ref="I291:I292"/>
    <mergeCell ref="J53:J54"/>
    <mergeCell ref="D183:D184"/>
    <mergeCell ref="C89:C90"/>
    <mergeCell ref="I293:I294"/>
    <mergeCell ref="J381:J382"/>
    <mergeCell ref="D219:D220"/>
    <mergeCell ref="E309:E310"/>
    <mergeCell ref="C205:C206"/>
    <mergeCell ref="D185:D186"/>
    <mergeCell ref="F247:F248"/>
    <mergeCell ref="E153:E154"/>
    <mergeCell ref="E311:E312"/>
    <mergeCell ref="F399:F400"/>
    <mergeCell ref="A55:A56"/>
    <mergeCell ref="C117:C118"/>
    <mergeCell ref="E6:E7"/>
    <mergeCell ref="F243:F244"/>
    <mergeCell ref="H305:H306"/>
    <mergeCell ref="B181:B182"/>
    <mergeCell ref="J63:J64"/>
    <mergeCell ref="B137:B138"/>
    <mergeCell ref="G369:G370"/>
    <mergeCell ref="C119:C120"/>
    <mergeCell ref="B147:B148"/>
    <mergeCell ref="H307:H308"/>
    <mergeCell ref="D245:D246"/>
    <mergeCell ref="I4:I5"/>
    <mergeCell ref="B139:B140"/>
    <mergeCell ref="D201:D202"/>
    <mergeCell ref="D89:D90"/>
    <mergeCell ref="D203:D204"/>
    <mergeCell ref="B51:B52"/>
    <mergeCell ref="I339:I340"/>
    <mergeCell ref="G241:G242"/>
    <mergeCell ref="F269:F270"/>
    <mergeCell ref="A73:A74"/>
    <mergeCell ref="H25:H26"/>
    <mergeCell ref="F171:F172"/>
  </mergeCells>
  <pageMargins left="0.7" right="0.7" top="0.75" bottom="0.75" header="0.3" footer="0.3"/>
  <pageSetup orientation="portrait" scale="92"/>
  <legacyDrawing xmlns:r="http://schemas.openxmlformats.org/officeDocument/2006/relationships" r:id="anysvml"/>
</worksheet>
</file>

<file path=xl/worksheets/sheet3.xml><?xml version="1.0" encoding="utf-8"?>
<worksheet xmlns="http://schemas.openxmlformats.org/spreadsheetml/2006/main">
  <sheetPr filterMode="1">
    <tabColor theme="4"/>
    <outlinePr summaryBelow="1" summaryRight="1"/>
    <pageSetUpPr/>
  </sheetPr>
  <dimension ref="A1:P60"/>
  <sheetViews>
    <sheetView zoomScale="80" zoomScaleNormal="80" workbookViewId="0">
      <pane ySplit="3" topLeftCell="A19" activePane="bottomLeft" state="frozen"/>
      <selection pane="bottomLeft" activeCell="G5" sqref="G5"/>
    </sheetView>
  </sheetViews>
  <sheetFormatPr baseColWidth="8" defaultRowHeight="15"/>
  <cols>
    <col width="19" customWidth="1" style="22" min="1" max="1"/>
    <col width="18.28515625" customWidth="1" style="22" min="2" max="2"/>
    <col width="49.140625" customWidth="1" style="22" min="3" max="3"/>
    <col width="13" bestFit="1" customWidth="1" style="72" min="4" max="5"/>
    <col width="12.28515625" bestFit="1" customWidth="1" style="72" min="6" max="7"/>
    <col width="29.85546875" customWidth="1" style="22" min="8" max="8"/>
    <col width="40.7109375" customWidth="1" style="22" min="9" max="9"/>
    <col width="22.85546875" customWidth="1" style="62" min="10" max="10"/>
    <col width="14.5703125" customWidth="1" style="62" min="11" max="11"/>
    <col width="22.5703125" customWidth="1" style="62" min="12" max="12"/>
    <col width="24.5703125" customWidth="1" style="22" min="13" max="13"/>
    <col width="19.7109375" customWidth="1" style="62" min="14" max="14"/>
    <col width="21.28515625" customWidth="1" style="62" min="15" max="15"/>
    <col width="29.85546875" customWidth="1" style="22" min="16" max="16"/>
  </cols>
  <sheetData>
    <row r="1" ht="48.75" customHeight="1" s="22">
      <c r="A1" s="1" t="n"/>
      <c r="B1" s="1" t="n"/>
      <c r="C1" s="6" t="inlineStr">
        <is>
          <t>SỔ THEO DÕI CÔNG TÁC BẢO TRÌ, SỬA CHỮA TRANG THIẾT BỊ KỸ THUẬT VHBC GA QUỐC TẾ - BHS</t>
        </is>
      </c>
      <c r="D1" s="76" t="n"/>
      <c r="E1" s="76" t="n"/>
      <c r="F1" s="76" t="n"/>
      <c r="G1" s="76" t="n"/>
      <c r="H1" s="1" t="n"/>
      <c r="I1" s="1" t="n"/>
      <c r="J1" s="1" t="n"/>
      <c r="K1" s="1" t="n"/>
      <c r="L1" s="1" t="n"/>
      <c r="M1" s="1" t="n"/>
      <c r="N1" s="1" t="n"/>
      <c r="O1" s="1" t="n"/>
      <c r="P1" s="1" t="n"/>
    </row>
    <row r="2" ht="16.5" customHeight="1" s="22" thickBot="1">
      <c r="A2" s="2" t="n"/>
      <c r="B2" s="2" t="n"/>
      <c r="C2" s="3" t="inlineStr">
        <is>
          <t>                                                                                                                                                                                                                                                                                                                                                                                                                                                                                                                                                                                                                                                                                                                                                                                                                                                                                                                                                                                                                                                                                                                                                                                                                                                                                                                                                                                                                                                                                                                                                                                                                                                                                                                                                                                                                                                                                                                                                                                                                                                                                  </t>
        </is>
      </c>
      <c r="D2" s="77" t="n"/>
      <c r="E2" s="77" t="n"/>
      <c r="F2" s="77" t="n"/>
      <c r="G2" s="77" t="n"/>
      <c r="H2" s="4" t="n"/>
      <c r="I2" s="1" t="n"/>
      <c r="J2" s="2" t="n"/>
      <c r="K2" s="2" t="n"/>
      <c r="L2" s="2" t="n"/>
      <c r="M2" s="2" t="n"/>
      <c r="N2" s="2" t="n"/>
      <c r="O2" s="2" t="n"/>
      <c r="P2" s="2" t="n"/>
    </row>
    <row r="3" ht="110.25" customHeight="1" s="22">
      <c r="A3" s="5" t="inlineStr">
        <is>
          <t>Ngày/ tháng/ năm</t>
        </is>
      </c>
      <c r="B3" s="5" t="inlineStr">
        <is>
          <t>Ngày/ tháng/ năm nhận ĐƯỢC phiếu THỰC TẾ</t>
        </is>
      </c>
      <c r="C3" s="8" t="inlineStr">
        <is>
          <t>NỘI DUNG BẢO TRÌ/ SỬA CHỮA</t>
        </is>
      </c>
      <c r="D3" s="78" t="inlineStr">
        <is>
          <t>BT 
ĐỊNH KỲ</t>
        </is>
      </c>
      <c r="E3" s="79" t="inlineStr">
        <is>
          <t>BT
ĐỘT XUẤT</t>
        </is>
      </c>
      <c r="F3" s="79" t="inlineStr">
        <is>
          <t>SỬA CHỮA
ĐK</t>
        </is>
      </c>
      <c r="G3" s="79" t="inlineStr">
        <is>
          <t>SỬA CHỮA
ĐX</t>
        </is>
      </c>
      <c r="H3" s="18" t="inlineStr">
        <is>
          <t>TÌNH TRẠNG HOẠT ĐỘNG TB trước bảo trì/sửa chữa</t>
        </is>
      </c>
      <c r="I3" s="16" t="inlineStr">
        <is>
          <t>VẬT TƯ THAY THẾ nếu có
(tên, chủng loại, số lượng)</t>
        </is>
      </c>
      <c r="J3" s="17" t="inlineStr">
        <is>
          <t>SỐ PHIẾU CT (nếu có)</t>
        </is>
      </c>
      <c r="K3" s="18" t="inlineStr">
        <is>
          <t>TÀI LIỆU THAM CHIẾU
 kế hoạch bảo trì tháng…/năm...</t>
        </is>
      </c>
      <c r="L3" s="17" t="inlineStr">
        <is>
          <t>PHIẾU KIỂM NGHIỆM KỸ THUẬT (nếu có)</t>
        </is>
      </c>
      <c r="M3" s="8" t="inlineStr">
        <is>
          <t>TÌNH TRẠNG HOẠT ĐỘNG TB Sau bảo trì</t>
        </is>
      </c>
      <c r="N3" s="18" t="inlineStr">
        <is>
          <t>ĐƠN VỊ THỰC HIỆN (người thực hiện, ký, ghi rõ họ tên)</t>
        </is>
      </c>
      <c r="O3" s="8" t="inlineStr">
        <is>
          <t>ĐƠN VỊ QUẢN LÝ
(người theo dõi, giám sát, ký, ghi rõ họ tên)</t>
        </is>
      </c>
      <c r="P3" s="18" t="inlineStr">
        <is>
          <t>GHI CHÚ, ĐỀ XUẤT
(ý kiến đề xuất sau khi thực hiện công tác)</t>
        </is>
      </c>
    </row>
    <row r="4" hidden="1" ht="47.25" customHeight="1" s="22">
      <c r="A4" s="19" t="n">
        <v>45616</v>
      </c>
      <c r="B4" s="19" t="n">
        <v>45663</v>
      </c>
      <c r="C4" s="30" t="inlineStr">
        <is>
          <t>Phối hợp nhân viên công ty STD&amp;S ép mới băng tải của băng chuyền A7-2, A7-3 sau cải tạo - Ga Quốc tế</t>
        </is>
      </c>
      <c r="D4" s="80" t="n"/>
      <c r="E4" s="80" t="n"/>
      <c r="F4" s="81" t="n"/>
      <c r="G4" s="82" t="inlineStr">
        <is>
          <t>x</t>
        </is>
      </c>
      <c r="H4" s="65" t="inlineStr">
        <is>
          <t>Hư hỏng trong quá trình sử dụng</t>
        </is>
      </c>
      <c r="I4" s="28" t="n"/>
      <c r="J4" s="15" t="inlineStr">
        <is>
          <t>311 - ĐCK - SC/KTG</t>
        </is>
      </c>
      <c r="K4" s="33" t="n"/>
      <c r="L4" s="33" t="inlineStr">
        <is>
          <t>311-ĐCK/KTG</t>
        </is>
      </c>
      <c r="M4" s="15" t="inlineStr">
        <is>
          <t>Hoạt dộng bình thường</t>
        </is>
      </c>
      <c r="N4" s="15" t="inlineStr">
        <is>
          <t xml:space="preserve">ĐCK (Sơn) </t>
        </is>
      </c>
      <c r="O4" s="15" t="inlineStr">
        <is>
          <t>Thái (N)</t>
        </is>
      </c>
      <c r="P4" s="28" t="n"/>
    </row>
    <row r="5" hidden="1" ht="409.5" customHeight="1" s="22">
      <c r="A5" s="19" t="n">
        <v>45649</v>
      </c>
      <c r="B5" s="19" t="n">
        <v>45671</v>
      </c>
      <c r="C5" s="30" t="inlineStr">
        <is>
          <t>Thay thế cảm biến (loadcell) và hộp nối cho cân I7, J2, F9.</t>
        </is>
      </c>
      <c r="D5" s="80" t="n"/>
      <c r="E5" s="80" t="n"/>
      <c r="F5" s="81" t="n"/>
      <c r="G5" s="82" t="inlineStr">
        <is>
          <t>x</t>
        </is>
      </c>
      <c r="H5" s="65" t="inlineStr">
        <is>
          <t>* Cân I7, J2, F9 không hiển thị số cân chính xác.</t>
        </is>
      </c>
      <c r="I5" s="34" t="inlineStr">
        <is>
          <t>Cân I7
* Cảm biến tải 65023-001E - A5 - 15F
   Serial number: 91902303, 1 cái.
* Cảm biến tải 65023-001E - A5 - 15F
   Serial number: 91902346, 1 cái.
* Cảm biến tải 65023-001E - A5 - 15F
   Serial number: 9189133, 1 cái.
* Cảm biến tải 65023-001E - A5 - 15F
   Serial number: 91902313, 1 cái.
Cân J2
* Cảm biến tải 65023-001E - A5 - 15F
   Serial number: 91889994, 1 cái.
* Cảm biến tải 65023-001E - A5 - 15F
   Serial number: 9190276, 1 cái.
* Cảm biến tải 65023-001E - A5 - 15F
   Serial number: 91890043, 1 cái.
* Cảm biến tải 65023-001E - A5 - 15F
   Serial number: 90556093, 1 cái.
Cân F9
* Cảm biến tải 65023-001E - A5 - 15F
   Serial number: 91890063, 1 cái.
* Cảm biến tải 65023-001E - A5 - 15F
   Serial number: 91902364, 1 cái.
* Cảm biến tải 65023-001E - A5 - 15F
   Serial number: 91902394, 1 cái.
* Cảm biến tải 65023-001E - A5 - 15F
   Serial number: 91890113, 1 cái.
* Hộp nối LC550, 3 bộ</t>
        </is>
      </c>
      <c r="J5" s="15" t="inlineStr">
        <is>
          <t>306 - ĐCK - SC/KTG</t>
        </is>
      </c>
      <c r="K5" s="33" t="n"/>
      <c r="L5" s="33" t="inlineStr">
        <is>
          <t>306-ĐCK/KTG</t>
        </is>
      </c>
      <c r="M5" s="15" t="inlineStr">
        <is>
          <t>Hoạt dộng bình thường</t>
        </is>
      </c>
      <c r="N5" s="15" t="n"/>
      <c r="O5" s="15" t="inlineStr">
        <is>
          <t>Chơn(N)</t>
        </is>
      </c>
      <c r="P5" s="28" t="n"/>
    </row>
    <row r="6" hidden="1" ht="96.75" customHeight="1" s="22">
      <c r="A6" s="19" t="n">
        <v>45650</v>
      </c>
      <c r="B6" s="19" t="n">
        <v>45653</v>
      </c>
      <c r="C6" s="30" t="inlineStr">
        <is>
          <t>Thay phốt và bạc đạn cho motor của băng chuyền ME2-15</t>
        </is>
      </c>
      <c r="D6" s="80" t="n"/>
      <c r="E6" s="80" t="inlineStr">
        <is>
          <t>x</t>
        </is>
      </c>
      <c r="F6" s="81" t="n"/>
      <c r="G6" s="82" t="n"/>
      <c r="H6" s="65" t="inlineStr">
        <is>
          <t>Do phốt của motor bị mòn và bạc đạn motor bị bó, kẹt (chưa sửa chữa lần nào kể từ 2016)</t>
        </is>
      </c>
      <c r="I6" s="35" t="inlineStr">
        <is>
          <t>* Phốt 35x50x8 HMSA10RGSKF
   Quy cách, mã số: 02BCH.P501.0355080, 
   2 cái cho ME2-15.
* Bạc đạn SKF 6207 2Z
   Quy cách, mã số: 02BCH.B001.0262070, 
   1 cái cho ME2-15.</t>
        </is>
      </c>
      <c r="J6" s="15" t="inlineStr">
        <is>
          <t>307 - ĐCK - SC/KTG</t>
        </is>
      </c>
      <c r="K6" s="33" t="n"/>
      <c r="L6" s="33" t="inlineStr">
        <is>
          <t>307-ĐCK/KTG</t>
        </is>
      </c>
      <c r="M6" s="15" t="inlineStr">
        <is>
          <t>Hoạt dộng bình thường</t>
        </is>
      </c>
      <c r="N6" s="15" t="n"/>
      <c r="O6" s="15" t="inlineStr">
        <is>
          <t>Chơn(N)</t>
        </is>
      </c>
      <c r="P6" s="28" t="n"/>
    </row>
    <row r="7" hidden="1" ht="31.5" customHeight="1" s="22">
      <c r="A7" s="19" t="n">
        <v>45657</v>
      </c>
      <c r="B7" s="19" t="n">
        <v>45664</v>
      </c>
      <c r="C7" s="31" t="inlineStr">
        <is>
          <t>Thay thế màn hình phụ cân H10</t>
        </is>
      </c>
      <c r="D7" s="80" t="n"/>
      <c r="E7" s="80" t="n"/>
      <c r="F7" s="81" t="n"/>
      <c r="G7" s="82" t="inlineStr">
        <is>
          <t>x</t>
        </is>
      </c>
      <c r="H7" s="65" t="inlineStr">
        <is>
          <t>Hư hỏng trong quá trình sử dụng</t>
        </is>
      </c>
      <c r="I7" s="32" t="inlineStr">
        <is>
          <t>* Bộ hiển thị cân PP-950,960 ABS-950
(02BCH.B017.0000050-01 cái)</t>
        </is>
      </c>
      <c r="J7" s="15" t="inlineStr">
        <is>
          <t>310 - ĐCK - SC/KTG</t>
        </is>
      </c>
      <c r="K7" s="33" t="n"/>
      <c r="L7" s="33" t="inlineStr">
        <is>
          <t>310-ĐCK/KTG</t>
        </is>
      </c>
      <c r="M7" s="15" t="inlineStr">
        <is>
          <t>Hoạt dộng bình thường</t>
        </is>
      </c>
      <c r="N7" s="15" t="inlineStr">
        <is>
          <t xml:space="preserve">ĐCK (Sơn) </t>
        </is>
      </c>
      <c r="O7" s="15" t="inlineStr">
        <is>
          <t>K.Lâm (N)</t>
        </is>
      </c>
      <c r="P7" s="28" t="n"/>
    </row>
    <row r="8" hidden="1" ht="357" customHeight="1" s="22">
      <c r="A8" s="19" t="n">
        <v>45670</v>
      </c>
      <c r="B8" s="19" t="n">
        <v>45671</v>
      </c>
      <c r="C8" s="35" t="inlineStr">
        <is>
          <t>Thay mới rulo chủ động SM1-3; rulo bị động L3-19, SM4-2; 
rulo chỉnh SM4-5 (kèm bạc đạn).</t>
        </is>
      </c>
      <c r="D8" s="80" t="n"/>
      <c r="E8" s="80" t="n"/>
      <c r="F8" s="81" t="n"/>
      <c r="G8" s="82" t="inlineStr">
        <is>
          <t>x</t>
        </is>
      </c>
      <c r="H8" s="65" t="inlineStr">
        <is>
          <t>Rulo chủ động SM1-3; rulo bị động L3-19, SM4-2; rulo chỉnh SM4-5 bị mòn cốt trục và có tiếng kêu lớn khi hoạt động.</t>
        </is>
      </c>
      <c r="I8" s="32" t="inlineStr">
        <is>
          <t>* Rulo chủ động Dia 185 (SA-PL002T)
   Quy cách, mã số: 02BCH.R003.0818522
   01 cái cho SM1-3.
* Bạc đạn Nachi UCF 209
   Quy cách, mã số: 02BCH.B001.0302090
   02 cái cho SM1-3
* Rulo chỉnh phi 102 (SA-PL040T)
   Quy cách, mã số: 02BCH.R003.0910215
   01 cái cho SM4-5
* Bạc đạn Asahi - UCFL206
   Quy cách, mã số: 02BCH.B001.0322060
   02 cái cho SM4-5
* Bạc đạn Nachi - UCFK207
   Quy cách, mã số: 02BCH.B001.0332070
   04 cái cho L3-19, Sm4-2
* Rulo bị động phi 114 SA-PL020T
   02 cái cho L3-19, SM4-2.</t>
        </is>
      </c>
      <c r="J8" s="15" t="inlineStr">
        <is>
          <t>204 - ĐCK - SC/KTG</t>
        </is>
      </c>
      <c r="K8" s="33" t="n"/>
      <c r="L8" s="33" t="inlineStr">
        <is>
          <t>204-ĐCK/KTG</t>
        </is>
      </c>
      <c r="M8" s="15" t="inlineStr">
        <is>
          <t>Hoạt dộng bình thường</t>
        </is>
      </c>
      <c r="N8" s="15" t="n"/>
      <c r="O8" s="15" t="inlineStr">
        <is>
          <t>Chơn(N)</t>
        </is>
      </c>
      <c r="P8" s="28" t="n"/>
    </row>
    <row r="9" hidden="1" ht="141.75" customHeight="1" s="22">
      <c r="A9" s="19" t="n">
        <v>45671</v>
      </c>
      <c r="B9" s="19" t="n">
        <v>45675</v>
      </c>
      <c r="C9" s="35" t="inlineStr">
        <is>
          <t>* Thay bộ motor hộp số (gồm biến tần) của băng chuyền A1-4.
* Motor hộp số L2-9.</t>
        </is>
      </c>
      <c r="D9" s="80" t="n"/>
      <c r="E9" s="80" t="inlineStr">
        <is>
          <t>x</t>
        </is>
      </c>
      <c r="F9" s="81" t="n"/>
      <c r="G9" s="82" t="n"/>
      <c r="H9" s="65" t="inlineStr">
        <is>
          <t>* Motor và hộp số băng chuyền A4 có tiếng kêu khi hoạt động, thường báo lỗi ''Inverter fault''.
* Motor băng chuyền L2-9 bị chảy nhớt.</t>
        </is>
      </c>
      <c r="I9" s="32" t="inlineStr">
        <is>
          <t>* Động cơ giảm tốc Sumitomo H 0.75kw w/Bk &amp; inverter RNYM1 - 1531 - BV - B - 80.
   Quy cách, mã số: 02BCH.M003.1706280, 1 cái cho A1-4.
* Motor 3.0 kw RNYM4 - 1633 - 20 (380/3 phase).
   Quy cách, mã số: 02BCH.M003.3205040, 1 cái cho L2-9.</t>
        </is>
      </c>
      <c r="J9" s="15" t="inlineStr">
        <is>
          <t>206 - ĐCK - SC/KTG</t>
        </is>
      </c>
      <c r="K9" s="33" t="n"/>
      <c r="L9" s="33" t="inlineStr">
        <is>
          <t>206-ĐCK/KTG</t>
        </is>
      </c>
      <c r="M9" s="15" t="inlineStr">
        <is>
          <t>Hoạt dộng bình thường</t>
        </is>
      </c>
      <c r="N9" s="15" t="n"/>
      <c r="O9" s="15" t="inlineStr">
        <is>
          <t>Chơn(N)</t>
        </is>
      </c>
      <c r="P9" s="28" t="n"/>
    </row>
    <row r="10" hidden="1" ht="47.25" customHeight="1" s="22">
      <c r="A10" s="28" t="n"/>
      <c r="B10" s="19" t="n">
        <v>45677</v>
      </c>
      <c r="C10" s="38" t="inlineStr">
        <is>
          <t>Thay thế biến tần điều khiển motor đoạn băng chuyền L3-3.</t>
        </is>
      </c>
      <c r="D10" s="80" t="n"/>
      <c r="E10" s="80" t="n"/>
      <c r="F10" s="81" t="n"/>
      <c r="G10" s="82" t="inlineStr">
        <is>
          <t>x</t>
        </is>
      </c>
      <c r="H10" s="65" t="inlineStr">
        <is>
          <t>Biến tần bị hỏng sau thời gian sử dụng (biến tần không suất tín hiệu ngõ ra).</t>
        </is>
      </c>
      <c r="I10" s="38" t="inlineStr">
        <is>
          <t>* Biến tần (4.0kw) VLT 2815(195N1037)</t>
        </is>
      </c>
      <c r="J10" s="15" t="inlineStr">
        <is>
          <t>007 - ĐCN - SC/KTG</t>
        </is>
      </c>
      <c r="K10" s="33" t="n"/>
      <c r="L10" s="33" t="inlineStr">
        <is>
          <t>007-ĐCN/KTG</t>
        </is>
      </c>
      <c r="M10" s="15" t="inlineStr">
        <is>
          <t>Hoạt dộng bình thường</t>
        </is>
      </c>
      <c r="N10" s="15" t="n"/>
      <c r="O10" s="15" t="inlineStr">
        <is>
          <t>Chơn(N)</t>
        </is>
      </c>
      <c r="P10" s="28" t="n"/>
    </row>
    <row r="11" hidden="1" ht="315" customHeight="1" s="22">
      <c r="A11" s="19" t="n">
        <v>45705</v>
      </c>
      <c r="B11" s="19" t="n">
        <v>45693</v>
      </c>
      <c r="C11" s="63" t="inlineStr">
        <is>
          <t>Thay phốt chặn dầu và bạc đạn cho motor của băng chuyền L2-9
Thay phốt trong cho hộp số motor của băng chuyền L2-39.
Thay bạc đạn cho motor của băng chuyền L4-15.</t>
        </is>
      </c>
      <c r="D11" s="80" t="n"/>
      <c r="E11" s="80" t="n"/>
      <c r="F11" s="81" t="n"/>
      <c r="G11" s="82" t="inlineStr">
        <is>
          <t>x</t>
        </is>
      </c>
      <c r="H11" s="65" t="inlineStr">
        <is>
          <t>Motor của băng chuyền hành lý L2-9 bị chảy nhớt
Motor của băng chuyền hành lý L2-39 bị chảy nhớt
Motor của băng chuyền L4-15 có tiếng kêu cơ khí lớn.</t>
        </is>
      </c>
      <c r="I11" s="63" t="inlineStr">
        <is>
          <t>* Phốt 65x88x10 HMSA10RGSKF
   Quy cách, mã số: 02BCH.P501.0658810, 
   3 cái cho L2-9, L2-39
* Bạc đạn SKF 6206 2Z
   Quy cách, mã số: 02BCH.B001.0262060, 
   1 cái cho L2-9.
* Bạc đạn SKF 6211 2Z
    Quy cách, mã số:
02BCH.B001.0262110
1 cái cho L2-9.
* Bạc đạn SKF 6204 2Z
   Quy cách, mã số: 02BCH.B001.0262040, 
   1 cái cho L4-15
* Bạc đạn SKF 6210 2Z
   Quy cách, mã số: 02BCH.B001.0262100, 
   1 cái cho L4-15</t>
        </is>
      </c>
      <c r="J11" s="15" t="inlineStr">
        <is>
          <t>211 - ĐCK - SC/KTG</t>
        </is>
      </c>
      <c r="K11" s="33" t="n"/>
      <c r="L11" s="33" t="inlineStr">
        <is>
          <t>211-ĐCN/KTG</t>
        </is>
      </c>
      <c r="M11" s="15" t="inlineStr">
        <is>
          <t>Hoạt dộng bình thường</t>
        </is>
      </c>
      <c r="N11" s="15" t="inlineStr">
        <is>
          <t xml:space="preserve">ĐCK (Sơn) </t>
        </is>
      </c>
      <c r="O11" s="15" t="inlineStr">
        <is>
          <t>Thái(N)</t>
        </is>
      </c>
      <c r="P11" s="28" t="n"/>
    </row>
    <row r="12" hidden="1" ht="31.5" customHeight="1" s="22">
      <c r="A12" s="80" t="n"/>
      <c r="B12" s="259" t="inlineStr">
        <is>
          <t>6/2/2025
7/2/2025</t>
        </is>
      </c>
      <c r="C12" s="28" t="inlineStr">
        <is>
          <t>Thay băng tải băng chuyền cong xoắn 90 độ L3-17 ga QT</t>
        </is>
      </c>
      <c r="D12" s="80" t="n"/>
      <c r="E12" s="80" t="n"/>
      <c r="F12" s="81" t="n"/>
      <c r="G12" s="82" t="inlineStr">
        <is>
          <t>x</t>
        </is>
      </c>
      <c r="H12" s="65" t="inlineStr">
        <is>
          <t>Hư hỏng trong quá trình sử dụng</t>
        </is>
      </c>
      <c r="I12" s="34" t="inlineStr">
        <is>
          <t xml:space="preserve">Băng tải băng chuyền cong xoắn 90 độ- PN FGS-SB-1025-975-90, 01 cái.  </t>
        </is>
      </c>
      <c r="J12" s="15" t="inlineStr">
        <is>
          <t>213 - ĐCK - SC/KTG</t>
        </is>
      </c>
      <c r="K12" s="33" t="n"/>
      <c r="L12" s="33" t="inlineStr">
        <is>
          <t>213-ĐCK/KTG</t>
        </is>
      </c>
      <c r="M12" s="15" t="n"/>
      <c r="N12" s="15" t="inlineStr">
        <is>
          <t>Tuấn (ĐCK)</t>
        </is>
      </c>
      <c r="O12" s="15" t="inlineStr">
        <is>
          <t>K.Lâm (N)</t>
        </is>
      </c>
      <c r="P12" s="80" t="n"/>
    </row>
    <row r="13" hidden="1" ht="31.5" customHeight="1" s="22">
      <c r="A13" s="250" t="n"/>
      <c r="B13" s="250" t="n"/>
      <c r="C13" s="28" t="inlineStr">
        <is>
          <t>Màn hình phụ cân G3</t>
        </is>
      </c>
      <c r="D13" s="80" t="n"/>
      <c r="E13" s="80" t="n"/>
      <c r="F13" s="81" t="n"/>
      <c r="G13" s="82" t="inlineStr">
        <is>
          <t>x</t>
        </is>
      </c>
      <c r="H13" s="65" t="inlineStr">
        <is>
          <t>Hư hỏng trong quá trình sử dụng</t>
        </is>
      </c>
      <c r="I13" s="34" t="inlineStr">
        <is>
          <t>Bộ hiển thị cân PP-950,960 ABS-950 
S/N: 75000225, 01 cái</t>
        </is>
      </c>
      <c r="J13" s="15" t="inlineStr">
        <is>
          <t>212 - ĐCK - SC/KTG</t>
        </is>
      </c>
      <c r="K13" s="33" t="n"/>
      <c r="L13" s="33" t="inlineStr">
        <is>
          <t>212-ĐCN/KTG</t>
        </is>
      </c>
      <c r="M13" s="15" t="n"/>
      <c r="N13" s="15" t="inlineStr">
        <is>
          <t>Vũ(ĐCK)</t>
        </is>
      </c>
      <c r="O13" s="250" t="n"/>
      <c r="P13" s="250" t="n"/>
    </row>
    <row r="14" hidden="1" ht="31.5" customHeight="1" s="22">
      <c r="A14" s="246" t="n"/>
      <c r="B14" s="246" t="n"/>
      <c r="C14" s="28" t="inlineStr">
        <is>
          <t>Phốt, bạc đạn motor ME2-15</t>
        </is>
      </c>
      <c r="D14" s="80" t="n"/>
      <c r="E14" s="80" t="n"/>
      <c r="F14" s="81" t="n"/>
      <c r="G14" s="82" t="inlineStr">
        <is>
          <t>x</t>
        </is>
      </c>
      <c r="H14" s="65" t="inlineStr">
        <is>
          <t>Hư hỏng trong quá trình sử dụng</t>
        </is>
      </c>
      <c r="I14" s="34" t="inlineStr">
        <is>
          <t>Phốt 35X50X8 HMSA10RG, 02 cái. Bạc
đạn SKF 6207 2Z, 01 cái</t>
        </is>
      </c>
      <c r="J14" s="15" t="inlineStr">
        <is>
          <t>307 - ĐCK - SC/KTG</t>
        </is>
      </c>
      <c r="K14" s="33" t="n"/>
      <c r="L14" s="33" t="inlineStr">
        <is>
          <t>307-ĐCN/KTG</t>
        </is>
      </c>
      <c r="M14" s="15" t="n"/>
      <c r="N14" s="15" t="inlineStr">
        <is>
          <t>Hoàng(ĐCK)</t>
        </is>
      </c>
      <c r="O14" s="246" t="n"/>
      <c r="P14" s="246" t="n"/>
    </row>
    <row r="15" hidden="1" ht="110.25" customHeight="1" s="22">
      <c r="A15" s="19" t="n">
        <v>45671</v>
      </c>
      <c r="B15" s="19" t="n">
        <v>45713</v>
      </c>
      <c r="C15" s="63" t="inlineStr">
        <is>
          <t>Thay motor hộp số (gồm biến tần) A1-4
Thay motor băng chuyền L2-9</t>
        </is>
      </c>
      <c r="D15" s="80" t="n"/>
      <c r="E15" s="80" t="n"/>
      <c r="F15" s="81" t="n"/>
      <c r="G15" s="82" t="inlineStr">
        <is>
          <t>x</t>
        </is>
      </c>
      <c r="H15" s="65" t="inlineStr">
        <is>
          <t>* Motor và hộp số băng chuyền A1-4 có tiếng kêu cơ khí khi hoạt động, biến tần của motor hoạt động không ổn định
* Motor của băng chuyền L2-9 bị chảy nhớt từ motor.</t>
        </is>
      </c>
      <c r="I15" s="63" t="inlineStr">
        <is>
          <t>Động cơn giảm tốc Sumitomo H 0,75kw 
và inverter RNYM1-1531-BV-B_80.(A1-4)
Motor 3.0 kw RNYM4-1633-20.(L2-9).</t>
        </is>
      </c>
      <c r="J15" s="15" t="inlineStr">
        <is>
          <t>206 - ĐCK - SC/KTG</t>
        </is>
      </c>
      <c r="K15" s="33" t="n"/>
      <c r="L15" s="33" t="inlineStr">
        <is>
          <t>206-ĐCN/KTG</t>
        </is>
      </c>
      <c r="M15" s="15" t="n"/>
      <c r="N15" s="15" t="inlineStr">
        <is>
          <t>Hoàng(ĐCK)</t>
        </is>
      </c>
      <c r="O15" s="15" t="inlineStr">
        <is>
          <t>Chơn(N)</t>
        </is>
      </c>
      <c r="P15" s="28" t="n"/>
    </row>
    <row r="16" hidden="1" ht="141.75" customHeight="1" s="22">
      <c r="A16" s="19" t="n">
        <v>45712</v>
      </c>
      <c r="B16" s="19" t="n">
        <v>45713</v>
      </c>
      <c r="C16" s="48" t="inlineStr">
        <is>
          <t>Thay cảm biến tải (loadcell) và hộp nối cho cân J7.</t>
        </is>
      </c>
      <c r="D16" s="80" t="n"/>
      <c r="E16" s="80" t="n"/>
      <c r="F16" s="81" t="n"/>
      <c r="G16" s="82" t="inlineStr">
        <is>
          <t>x</t>
        </is>
      </c>
      <c r="H16" s="65" t="inlineStr">
        <is>
          <t>Cân J7 hiển thị số cân không chính xác.</t>
        </is>
      </c>
      <c r="I16" s="34" t="inlineStr">
        <is>
          <t>* Cảm biến tải 65023-001E - A5 - 15F
   c 91902438, 1 cái.
* Cảm biến tải 65023-001E - A5 - 15F
   Serial number: 91902464, 1 cái.
* Cảm biến tải 65023-001E - A5 - 15F
   Serial number: 91892411, 1 cái.
* Cảm biến tải 65023-001E - A5 - 15F
   Serial number: 91902449, 1 cái.
* Hộp nối LC550 (hiệu Atrax) 1 cái</t>
        </is>
      </c>
      <c r="J16" s="15" t="inlineStr">
        <is>
          <t>215 - ĐCK - SC/KTG</t>
        </is>
      </c>
      <c r="K16" s="33" t="n"/>
      <c r="L16" s="33" t="inlineStr">
        <is>
          <t>215-ĐCN/KTG</t>
        </is>
      </c>
      <c r="M16" s="15" t="n"/>
      <c r="N16" s="15" t="inlineStr">
        <is>
          <t>Hoàng(ĐCK)</t>
        </is>
      </c>
      <c r="O16" s="15" t="inlineStr">
        <is>
          <t>Chơn(N)</t>
        </is>
      </c>
      <c r="P16" s="28" t="n"/>
    </row>
    <row r="17" hidden="1" ht="31.5" customHeight="1" s="22">
      <c r="A17" s="19" t="n">
        <v>45707</v>
      </c>
      <c r="B17" s="19" t="n">
        <v>45713</v>
      </c>
      <c r="C17" s="63" t="inlineStr">
        <is>
          <t>Đóng móc lại băng tải của băng chuyền L4-48.</t>
        </is>
      </c>
      <c r="D17" s="80" t="n"/>
      <c r="E17" s="80" t="n"/>
      <c r="F17" s="81" t="n"/>
      <c r="G17" s="82" t="inlineStr">
        <is>
          <t>x</t>
        </is>
      </c>
      <c r="H17" s="65" t="inlineStr">
        <is>
          <t>Băng tải băng chuyền L4-48 bị bung mối nối.</t>
        </is>
      </c>
      <c r="I17" s="38" t="inlineStr">
        <is>
          <t>Móc nối băng tải Intake U1.</t>
        </is>
      </c>
      <c r="J17" s="15" t="inlineStr">
        <is>
          <t>214 - ĐCK - SC/KTG</t>
        </is>
      </c>
      <c r="K17" s="33" t="n"/>
      <c r="L17" s="33" t="inlineStr">
        <is>
          <t>214-ĐCN/KTG</t>
        </is>
      </c>
      <c r="M17" s="15" t="n"/>
      <c r="N17" s="15" t="inlineStr">
        <is>
          <t>Hoàng(ĐCK)</t>
        </is>
      </c>
      <c r="O17" s="15" t="inlineStr">
        <is>
          <t>Chơn(N)</t>
        </is>
      </c>
      <c r="P17" s="28" t="n"/>
    </row>
    <row r="18" hidden="1" ht="47.25" customHeight="1" s="22">
      <c r="A18" s="19" t="n">
        <v>45720</v>
      </c>
      <c r="B18" s="19" t="n">
        <v>45720</v>
      </c>
      <c r="C18" s="63" t="inlineStr">
        <is>
          <t>Thay bạc đạn của các puly dẫn hướng của induction 1,2,3</t>
        </is>
      </c>
      <c r="D18" s="80" t="n"/>
      <c r="E18" s="80" t="n"/>
      <c r="F18" s="81" t="n"/>
      <c r="G18" s="82" t="inlineStr">
        <is>
          <t>x</t>
        </is>
      </c>
      <c r="H18" s="65" t="inlineStr">
        <is>
          <t>Bạc đạn của các puly dẫn hướng của induction 1,2,3 có tiếng kêu cơ khí khi hoạt động.</t>
        </is>
      </c>
      <c r="I18" s="63" t="inlineStr">
        <is>
          <t>Bạc đạn 6303 ZZECM
Quy cách, mã số: 02BCH.B001.0262060</t>
        </is>
      </c>
      <c r="J18" s="15" t="inlineStr">
        <is>
          <t>219 - ĐCK - SC/KTG</t>
        </is>
      </c>
      <c r="K18" s="33" t="n"/>
      <c r="L18" s="33" t="inlineStr">
        <is>
          <t>214-ĐCK/KTG</t>
        </is>
      </c>
      <c r="M18" s="15" t="n"/>
      <c r="N18" s="15" t="inlineStr">
        <is>
          <t>Sơn (ĐCK)</t>
        </is>
      </c>
      <c r="O18" s="15" t="inlineStr">
        <is>
          <t>Thái(N)</t>
        </is>
      </c>
      <c r="P18" s="28" t="n"/>
    </row>
    <row r="19" hidden="1" ht="47.25" customHeight="1" s="22">
      <c r="A19" s="222" t="n">
        <v>45730</v>
      </c>
      <c r="B19" s="222" t="n">
        <v>45730</v>
      </c>
      <c r="C19" s="63" t="inlineStr">
        <is>
          <t>Màn hình chính cân E1</t>
        </is>
      </c>
      <c r="D19" s="83" t="n"/>
      <c r="E19" s="83" t="n"/>
      <c r="F19" s="83" t="n"/>
      <c r="G19" s="82" t="inlineStr">
        <is>
          <t>x</t>
        </is>
      </c>
      <c r="H19" s="65" t="inlineStr">
        <is>
          <t>Màn hình bị lỗi hiển thị</t>
        </is>
      </c>
      <c r="I19" s="74" t="inlineStr">
        <is>
          <t>Màn hình chính OP-960+(hiệu Atrax). 
Xuất xứ: New Zealand
Quy cách, mã số: 02BCH.M013.0209600</t>
        </is>
      </c>
      <c r="J19" s="223" t="inlineStr">
        <is>
          <t>224 - ĐCK - SC/KTG</t>
        </is>
      </c>
      <c r="K19" s="223" t="n"/>
      <c r="L19" s="33" t="inlineStr">
        <is>
          <t>224-ĐCK/KTG</t>
        </is>
      </c>
      <c r="M19" s="64" t="n"/>
      <c r="N19" s="223" t="inlineStr">
        <is>
          <t>Công (DCK)</t>
        </is>
      </c>
      <c r="O19" s="223" t="inlineStr">
        <is>
          <t>K.Lâm (N)</t>
        </is>
      </c>
      <c r="P19" s="64" t="n"/>
    </row>
    <row r="20" hidden="1" ht="63" customHeight="1" s="22">
      <c r="A20" s="246" t="n"/>
      <c r="B20" s="246" t="n"/>
      <c r="C20" s="63" t="inlineStr">
        <is>
          <t>Tapi belt số 3 (IND3)</t>
        </is>
      </c>
      <c r="D20" s="83" t="n"/>
      <c r="E20" s="83" t="n"/>
      <c r="F20" s="83" t="n"/>
      <c r="G20" s="82" t="inlineStr">
        <is>
          <t>x</t>
        </is>
      </c>
      <c r="H20" s="65" t="inlineStr">
        <is>
          <t>Băng tải bị rách mép, lão hoá từ 2019 tới nay.</t>
        </is>
      </c>
      <c r="I20" s="74" t="inlineStr">
        <is>
          <t>Băng tải Sieling transilon E8/2 UO/V15LG SE
 Black W 1000xL1.439mmm.
Quy cách, mã số: 02BCH.B009.818420</t>
        </is>
      </c>
      <c r="J20" s="223" t="inlineStr">
        <is>
          <t>225 - ĐCK - SC/KTG</t>
        </is>
      </c>
      <c r="K20" s="223" t="n"/>
      <c r="L20" s="33" t="inlineStr">
        <is>
          <t>225-ĐCK/KTG</t>
        </is>
      </c>
      <c r="M20" s="64" t="n"/>
      <c r="N20" s="246" t="n"/>
      <c r="O20" s="246" t="n"/>
      <c r="P20" s="64" t="n"/>
    </row>
    <row r="21" hidden="1" ht="110.25" customHeight="1" s="22">
      <c r="A21" s="222" t="n">
        <v>45733</v>
      </c>
      <c r="B21" s="222" t="n">
        <v>45735</v>
      </c>
      <c r="C21" s="63" t="inlineStr">
        <is>
          <t>Thay băng tải cho băng chuyền merge 45 độ L3B-101 -  ga Quốc tế</t>
        </is>
      </c>
      <c r="D21" s="83" t="n"/>
      <c r="E21" s="83" t="n"/>
      <c r="F21" s="83" t="n"/>
      <c r="G21" s="82" t="inlineStr">
        <is>
          <t>x</t>
        </is>
      </c>
      <c r="H21" s="65" t="inlineStr">
        <is>
          <t>Băng tải băng chuyền Merge 45 độ L3B-101 bị tách lớp, bong tróc bề mặt lớp cao su.</t>
        </is>
      </c>
      <c r="I21" s="74" t="inlineStr">
        <is>
          <t>Băng chuyền Merge 45 độ (line 1-4): FGS-MGB6200-4556-945-45. Length: 1500mm. Belt length: 4556mm (2/+5mm). Belt width: 950mm. Angle 45 degree. Honeywell Transnorm. Xuất xứ: Trung Quốc.
Quy cách, mã số: 02BCH.B009.3042630</t>
        </is>
      </c>
      <c r="J21" s="223" t="inlineStr">
        <is>
          <t>226- ĐCK - SC/KTG</t>
        </is>
      </c>
      <c r="K21" s="223" t="n"/>
      <c r="L21" s="223" t="inlineStr">
        <is>
          <t>226 - ĐCK/KTG</t>
        </is>
      </c>
      <c r="M21" s="64" t="n"/>
      <c r="N21" s="223" t="inlineStr">
        <is>
          <t>Công (DCK)</t>
        </is>
      </c>
      <c r="O21" s="223" t="inlineStr">
        <is>
          <t>Nhân (N)</t>
        </is>
      </c>
      <c r="P21" s="64" t="n"/>
    </row>
    <row r="22" hidden="1" ht="31.5" customHeight="1" s="22">
      <c r="A22" s="222" t="n">
        <v>45728</v>
      </c>
      <c r="B22" s="222" t="n">
        <v>45748</v>
      </c>
      <c r="C22" s="63" t="inlineStr">
        <is>
          <t>Thay mới rulo chủ động L3-31 + bạc đạn - Ga Quốc tế</t>
        </is>
      </c>
      <c r="D22" s="83" t="n"/>
      <c r="E22" s="83" t="n"/>
      <c r="F22" s="83" t="n"/>
      <c r="G22" s="82" t="inlineStr">
        <is>
          <t>x</t>
        </is>
      </c>
      <c r="H22" s="65" t="n"/>
      <c r="I22" s="74" t="inlineStr">
        <is>
          <t>Rulo chủ động D235 SA-PL004T
Bạc đạn Nachi UCF 209</t>
        </is>
      </c>
      <c r="J22" s="223" t="inlineStr">
        <is>
          <t>221-ĐCK-SC/KTG</t>
        </is>
      </c>
      <c r="K22" s="223" t="n"/>
      <c r="L22" s="223" t="inlineStr">
        <is>
          <t>221-ĐCK/KTG</t>
        </is>
      </c>
      <c r="M22" s="64" t="n"/>
      <c r="N22" s="223" t="inlineStr">
        <is>
          <t>Công (DCK)</t>
        </is>
      </c>
      <c r="O22" s="223" t="inlineStr">
        <is>
          <t>Nhân (N)</t>
        </is>
      </c>
      <c r="P22" s="64" t="n"/>
    </row>
    <row r="23" hidden="1" ht="141.75" customHeight="1" s="22">
      <c r="A23" s="222" t="n">
        <v>45749</v>
      </c>
      <c r="B23" s="222" t="n">
        <v>45749</v>
      </c>
      <c r="C23" s="63" t="inlineStr">
        <is>
          <t>Thay cảm biến tải (loadcell) và hộp nối cho cân C6,E1
Đóng móc mối nối cho băng chuyền L1-31</t>
        </is>
      </c>
      <c r="D23" s="83" t="n"/>
      <c r="E23" s="83" t="n"/>
      <c r="F23" s="83" t="n"/>
      <c r="G23" s="82" t="inlineStr">
        <is>
          <t>x</t>
        </is>
      </c>
      <c r="H23" s="65" t="inlineStr">
        <is>
          <t>Cân C6,E1 hiển thị số cân không chính xác.
Mối nối cho băng chuyền L1-31 bị hỏng</t>
        </is>
      </c>
      <c r="I23" s="74" t="inlineStr">
        <is>
          <t>* Cảm biến tải 563YH-500kgs
  Hãn Atrax, Newzeland,
   Serial number: 2424000687, 8 cái.
* Hộp nối LC550 (hiệu Atrax) 2 bộ
* Móc nối băng tải Intake U1(mỗi hộp 12 thanh, mỗi thanh dài 300mm); vật liệu Inox 304
Mã số, quy cách: 02BCH.M004.0000007: 1 hộp.</t>
        </is>
      </c>
      <c r="J23" s="223" t="inlineStr">
        <is>
          <t>235-ĐCK-SC/KTG</t>
        </is>
      </c>
      <c r="K23" s="223" t="n"/>
      <c r="L23" s="223" t="inlineStr">
        <is>
          <t>235-ĐCK/KTG</t>
        </is>
      </c>
      <c r="M23" s="64" t="n"/>
      <c r="N23" s="223" t="inlineStr">
        <is>
          <t>Công (DCK)</t>
        </is>
      </c>
      <c r="O23" s="223" t="inlineStr">
        <is>
          <t>K.Lâm (N)</t>
        </is>
      </c>
      <c r="P23" s="64" t="n"/>
    </row>
    <row r="24" hidden="1" ht="94.5" customHeight="1" s="22">
      <c r="A24" s="250" t="n"/>
      <c r="B24" s="250" t="n"/>
      <c r="C24" s="64" t="inlineStr">
        <is>
          <t>Băng tải có dẫn hướng Induction</t>
        </is>
      </c>
      <c r="D24" s="83" t="inlineStr">
        <is>
          <t>x</t>
        </is>
      </c>
      <c r="E24" s="83" t="n"/>
      <c r="F24" s="83" t="n"/>
      <c r="G24" s="83" t="n"/>
      <c r="H24" s="74" t="inlineStr">
        <is>
          <t>Băng tải có dẫn hướng bị hao
 mòn, hư hỏng</t>
        </is>
      </c>
      <c r="I24" s="74" t="inlineStr">
        <is>
          <t>Băng tải có gân dẫn hướng K13,kích thước rộng 48±1mm,  dài 1802±3mm, dày 2.8 ±0.15mm. Hiệu  Forbo Siegling. Mã hiệu:E12/2 U0/V7H MT SE Black (băng tải ép nối sẵn) Xuất xứ: Forbo-China, 60 cái.</t>
        </is>
      </c>
      <c r="J24" s="223" t="inlineStr">
        <is>
          <t>235-ĐCK-SC/KTG</t>
        </is>
      </c>
      <c r="K24" s="223" t="n"/>
      <c r="L24" s="223" t="inlineStr">
        <is>
          <t>235-ĐCK/KTG</t>
        </is>
      </c>
      <c r="M24" s="64" t="n"/>
      <c r="N24" s="250" t="n"/>
      <c r="O24" s="250" t="n"/>
      <c r="P24" s="64" t="n"/>
    </row>
    <row r="25" hidden="1" ht="47.25" customHeight="1" s="22">
      <c r="A25" s="250" t="n"/>
      <c r="B25" s="250" t="n"/>
      <c r="C25" s="63" t="inlineStr">
        <is>
          <t>Đóng móc cho băng tải của băng chuyền L1-33</t>
        </is>
      </c>
      <c r="D25" s="83" t="n"/>
      <c r="E25" s="83" t="n"/>
      <c r="F25" s="83" t="n"/>
      <c r="G25" s="83" t="inlineStr">
        <is>
          <t>x</t>
        </is>
      </c>
      <c r="H25" s="65" t="inlineStr">
        <is>
          <t>Móc băng tải hư hỏng sau quá trình sử dụng</t>
        </is>
      </c>
      <c r="I25" s="74" t="inlineStr">
        <is>
          <t>Móc nối băng tải Intake U1 (mỗi hộp 12 thanh, mỗi thanh dài 300mmmm, inox 304)</t>
        </is>
      </c>
      <c r="J25" s="223" t="inlineStr">
        <is>
          <t>220-ĐCK-SC/KTG</t>
        </is>
      </c>
      <c r="K25" s="223" t="n"/>
      <c r="L25" s="223" t="inlineStr">
        <is>
          <t>220-ĐCK/KTG</t>
        </is>
      </c>
      <c r="M25" s="241" t="n"/>
      <c r="N25" s="250" t="n"/>
      <c r="O25" s="250" t="n"/>
      <c r="P25" s="241" t="n"/>
    </row>
    <row r="26" hidden="1" ht="31.5" customHeight="1" s="22">
      <c r="A26" s="246" t="n"/>
      <c r="B26" s="246" t="n"/>
      <c r="C26" s="63" t="inlineStr">
        <is>
          <t>Thay mới Rulo chủ động, bạc đạn L1-31</t>
        </is>
      </c>
      <c r="D26" s="83" t="n"/>
      <c r="E26" s="83" t="n"/>
      <c r="F26" s="83" t="n"/>
      <c r="G26" s="83" t="inlineStr">
        <is>
          <t>x</t>
        </is>
      </c>
      <c r="H26" s="65" t="inlineStr">
        <is>
          <t>Rulo, bạc đạn hư hỏng sau quá trình sử dụng</t>
        </is>
      </c>
      <c r="I26" s="75" t="inlineStr">
        <is>
          <t>Rulo chủ động D235 SA-PL004T, 01 cái
Bạc đạn Nachi UCF 209, 02 cái</t>
        </is>
      </c>
      <c r="J26" s="223" t="inlineStr">
        <is>
          <t>221-ĐCK-SC/KTG</t>
        </is>
      </c>
      <c r="K26" s="223" t="n"/>
      <c r="L26" s="223" t="inlineStr">
        <is>
          <t>221-ĐCK/KTG</t>
        </is>
      </c>
      <c r="M26" s="241" t="n"/>
      <c r="N26" s="246" t="n"/>
      <c r="O26" s="246" t="n"/>
      <c r="P26" s="241" t="n"/>
    </row>
    <row r="27" hidden="1" ht="31.5" customHeight="1" s="22">
      <c r="A27" s="93" t="n"/>
      <c r="B27" s="99" t="inlineStr">
        <is>
          <t xml:space="preserve">         4/4/2025   </t>
        </is>
      </c>
      <c r="C27" s="94" t="inlineStr">
        <is>
          <t>Thay băng tải của băng chuyền L1-40, L2-5, L2-11, L3-47, L6-40</t>
        </is>
      </c>
      <c r="D27" s="213" t="n"/>
      <c r="E27" s="213" t="n"/>
      <c r="F27" s="213" t="n"/>
      <c r="G27" s="213" t="n"/>
      <c r="H27" s="119" t="n"/>
      <c r="I27" s="119" t="n"/>
      <c r="J27" s="207" t="n"/>
      <c r="K27" s="207" t="n"/>
      <c r="L27" s="207" t="n"/>
      <c r="M27" s="119" t="n"/>
      <c r="N27" s="207" t="n"/>
    </row>
    <row r="28" hidden="1" ht="119.25" customFormat="1" customHeight="1" s="241">
      <c r="A28" s="215" t="inlineStr">
        <is>
          <t xml:space="preserve">          14/4/2025      </t>
        </is>
      </c>
      <c r="B28" s="209" t="inlineStr">
        <is>
          <t xml:space="preserve">      14/4/2025</t>
        </is>
      </c>
      <c r="C28" s="103" t="inlineStr">
        <is>
          <t>Thay băng tải băng chuyền A6-1- ga QT bằng cách đóng móc nối</t>
        </is>
      </c>
      <c r="D28" s="91" t="n"/>
      <c r="E28" s="215" t="inlineStr">
        <is>
          <t>x</t>
        </is>
      </c>
      <c r="F28" s="91" t="n"/>
      <c r="G28" s="215" t="n"/>
      <c r="H28" s="100" t="inlineStr">
        <is>
          <t>Băng tải của băng chuyền A6-1
ga QT bị bung mối nối</t>
        </is>
      </c>
      <c r="I28" s="101" t="inlineStr">
        <is>
          <t>*Móc nối băng tải Intake U1 (mỗi hộp 12 thanh,
mỗi thanh dài 300mm),vật liệu Inox 304</t>
        </is>
      </c>
      <c r="J28" s="215" t="inlineStr">
        <is>
          <t>229-ĐCK-SC/KTG</t>
        </is>
      </c>
      <c r="K28" s="215" t="n"/>
      <c r="L28" s="215" t="inlineStr">
        <is>
          <t>229-ĐCK/KTG</t>
        </is>
      </c>
      <c r="N28" s="215" t="n"/>
      <c r="O28" s="215" t="inlineStr">
        <is>
          <t>Tú(N)</t>
        </is>
      </c>
    </row>
    <row r="29" hidden="1" ht="66.75" customHeight="1" s="22">
      <c r="A29" s="246" t="n"/>
      <c r="B29" s="209" t="inlineStr">
        <is>
          <t xml:space="preserve">      14/4/2025</t>
        </is>
      </c>
      <c r="C29" s="100" t="inlineStr">
        <is>
          <t>*Thay mới rulo chỉnh TR2-4 + Bạc đạn - Ga Quốc Tế</t>
        </is>
      </c>
      <c r="D29" s="100" t="n"/>
      <c r="E29" s="100" t="n"/>
      <c r="F29" s="100" t="n"/>
      <c r="G29" s="102" t="inlineStr">
        <is>
          <t>x</t>
        </is>
      </c>
      <c r="H29" s="100" t="inlineStr">
        <is>
          <t>Bạc đạn rulo chỉnh+bạc đạn của băng chuyền TR2-4 bị hỏng sau thời gian sử dụng(3 năm chưa thay lần nào)</t>
        </is>
      </c>
      <c r="I29" s="100" t="inlineStr">
        <is>
          <t>*Ru lô chỉnh, căng và đỡ băng tải băng chuyền line 5 Ø 102 x 960mm
*Bạc đạn FYTB35WF (Bearing)</t>
        </is>
      </c>
      <c r="J29" s="102" t="inlineStr">
        <is>
          <t>227-ĐCK-SC/KTG</t>
        </is>
      </c>
      <c r="K29" s="100" t="n"/>
      <c r="L29" s="102" t="inlineStr">
        <is>
          <t>227-ĐCK/KTG</t>
        </is>
      </c>
      <c r="M29" s="100" t="n"/>
      <c r="N29" s="15" t="inlineStr">
        <is>
          <t>Sơn (ĐCK)</t>
        </is>
      </c>
      <c r="O29" s="15" t="inlineStr">
        <is>
          <t>Bình(Đ)</t>
        </is>
      </c>
      <c r="P29" s="100" t="n"/>
    </row>
    <row r="30" hidden="1" ht="254.25" customHeight="1" s="22">
      <c r="A30" s="212" t="n">
        <v>45755</v>
      </c>
      <c r="B30" s="98" t="inlineStr">
        <is>
          <t xml:space="preserve">      14/4/2025</t>
        </is>
      </c>
      <c r="C30" s="100" t="inlineStr">
        <is>
          <t>Thay mới rulo bị động, bạc đạn của băng chuyền hành lý L3-19; rulo căng, bạc đạn của băng chuyền L4-31- Ga Quốc tế</t>
        </is>
      </c>
      <c r="D30" s="100" t="n"/>
      <c r="E30" s="100" t="n"/>
      <c r="F30" s="100" t="n"/>
      <c r="G30" s="102" t="inlineStr">
        <is>
          <t>x</t>
        </is>
      </c>
      <c r="H30" s="106" t="inlineStr">
        <is>
          <t>Do rulo bị động, bạc đạn của băng chuyền hành lý L3-19; 
rulo căng, bạc đạn của băng chuyền L4-31- Ga Quốc tế bị hỏng sau thời gian sử dụng
(trong 3 năm gần đây chưa thay lần nào)</t>
        </is>
      </c>
      <c r="I30" s="242" t="inlineStr">
        <is>
          <t>*Ru lô bị động 0114 SA-PLO2OT (Line 1~4),
(Băng chuyền rộng
1000mm). Đường kính:
Ф114mm. Dài: 1110mm.
Vật liệu: Trục S4SC, ống thép SS400. (Theo bản vẽ 1/14 ngày 06/06/2024
đính kèm), 1 cái
*Bạc đạn Nachi UCFK 207,2 cái
*Ru lô căng 0140 SA-PL030T (Line 1~4), (Băng chuyền rộng 1000mm).
Đường kính: Ф140mm. Dài:
1130mm. Vật liệu: Trục
S45C, ống thép SS400.
(Theo bản vẽ 5/14 ngày
06/06/2024 đính kèm), 2 cái
*BẠc đạn Ấhi UCT 207, 2 cái</t>
        </is>
      </c>
      <c r="J30" s="102" t="inlineStr">
        <is>
          <t>236-ĐCK-SC/KTG</t>
        </is>
      </c>
      <c r="K30" s="100" t="n"/>
      <c r="L30" s="102" t="inlineStr">
        <is>
          <t>236-ĐCK/KTG</t>
        </is>
      </c>
      <c r="M30" s="100" t="n"/>
      <c r="N30" s="15" t="inlineStr">
        <is>
          <t>Công (ĐCK)</t>
        </is>
      </c>
      <c r="O30" s="250" t="n"/>
      <c r="P30" s="100" t="n"/>
    </row>
    <row r="31" hidden="1" ht="99" customHeight="1" s="22">
      <c r="A31" s="229" t="n">
        <v>45740</v>
      </c>
      <c r="B31" s="211" t="n">
        <v>45761</v>
      </c>
      <c r="C31" s="103" t="inlineStr">
        <is>
          <t>Thay mới rulo căng, rulo chủ động + bạc đạn của băng chuyền SM5-08 - Ga Quốc tế.</t>
        </is>
      </c>
      <c r="D31" s="103" t="n"/>
      <c r="E31" s="103" t="n"/>
      <c r="F31" s="103" t="n"/>
      <c r="G31" s="111" t="inlineStr">
        <is>
          <t>x</t>
        </is>
      </c>
      <c r="H31" s="112" t="inlineStr">
        <is>
          <t>Rulo căng + bạc đạn, rulo chủ động + bạc đạn của băng chuyền SM5-08 bị hỏng sau thời gian sử dụng (trong 3 năm gần đây chưa thay lần nào) - Ga Quốc tế.</t>
        </is>
      </c>
      <c r="I31" s="113" t="inlineStr">
        <is>
          <t>*Ru lô đỡ tapi (Snub Pulley) (Line 5), 1 cái
*Rulo chủ động băng chuyền line 5 (Motor
0.75KW) phi, 160 x 960mm, trục C50,1 cái
*Bạc đạn FYTB35WF (Bearing), 2 cái
*BẠc đạn ASAHI UCT 207, 2 cái</t>
        </is>
      </c>
      <c r="J31" s="111" t="inlineStr">
        <is>
          <t>228-ĐCK-SC/KTG</t>
        </is>
      </c>
      <c r="K31" s="103" t="n"/>
      <c r="L31" s="111" t="inlineStr">
        <is>
          <t>228-ĐCK/KTG</t>
        </is>
      </c>
      <c r="M31" s="216" t="inlineStr">
        <is>
          <t>Hoạt dộng bình thường</t>
        </is>
      </c>
      <c r="N31" s="216" t="inlineStr">
        <is>
          <t>Sơn (ĐCK)</t>
        </is>
      </c>
      <c r="O31" s="246" t="n"/>
      <c r="P31" s="103" t="n"/>
    </row>
    <row r="32" hidden="1" ht="74.25" customFormat="1" customHeight="1" s="241">
      <c r="A32" s="211" t="n">
        <v>45769</v>
      </c>
      <c r="B32" s="99" t="inlineStr">
        <is>
          <t xml:space="preserve">        22/04/2025</t>
        </is>
      </c>
      <c r="C32" s="113" t="inlineStr">
        <is>
          <t xml:space="preserve">Rulo chủ động băng chuyền cong xoắn L4-18 ga quốc tế mòn 
cốt trục.   </t>
        </is>
      </c>
      <c r="D32" s="213" t="n"/>
      <c r="E32" s="213" t="n"/>
      <c r="F32" s="213" t="n"/>
      <c r="G32" s="207" t="inlineStr">
        <is>
          <t>x</t>
        </is>
      </c>
      <c r="H32" s="113" t="inlineStr">
        <is>
          <t xml:space="preserve">Rulo chủ động băng chuyền cong xoắn L4-18 ga quốc tế mòn cốt trục.
</t>
        </is>
      </c>
      <c r="I32" s="113" t="inlineStr">
        <is>
          <t xml:space="preserve">*Rulo chủ động băng chuyền cong xoắn 90 độ QT ( hiệu Transnorm )quy cách 
02BCH.R003.0800200 ( 01 cái ).
</t>
        </is>
      </c>
      <c r="J32" s="207" t="inlineStr">
        <is>
          <t>239-ĐCK-SC/KTG</t>
        </is>
      </c>
      <c r="K32" s="207" t="n"/>
      <c r="L32" s="207" t="inlineStr">
        <is>
          <t>239-ĐCK/KTG</t>
        </is>
      </c>
      <c r="M32" s="216" t="inlineStr">
        <is>
          <t>Hoạt dộng bình thường</t>
        </is>
      </c>
      <c r="N32" s="207" t="inlineStr">
        <is>
          <t>Giang(ĐCK)</t>
        </is>
      </c>
      <c r="O32" s="207" t="n"/>
      <c r="P32" s="119" t="n"/>
    </row>
    <row r="33" hidden="1" ht="105.75" customHeight="1" s="22">
      <c r="A33" s="108" t="n">
        <v>45771</v>
      </c>
      <c r="B33" s="98" t="inlineStr">
        <is>
          <t xml:space="preserve">       25/04/2025</t>
        </is>
      </c>
      <c r="C33" s="114" t="inlineStr">
        <is>
          <t>Thay belt băng chuyền L1 - 30.</t>
        </is>
      </c>
      <c r="D33" s="91" t="n"/>
      <c r="E33" s="91" t="n"/>
      <c r="F33" s="91" t="n"/>
      <c r="G33" s="215" t="inlineStr">
        <is>
          <t>x</t>
        </is>
      </c>
      <c r="H33" s="242" t="inlineStr">
        <is>
          <t>*Băng tải của băng chuyền cong
90 đô L1-30 ga QT bị bung mối 
nối gân dẫn hướng 1 đoạn 700
mm,bề mặt băng tải bị rách 1 
đoạn 40 mm,bạc đạn dẫn hướng
bị bó cứng.</t>
        </is>
      </c>
      <c r="I33" s="242" t="inlineStr">
        <is>
          <t>*Băng tải cong 90 độ,model : TS1500-100(còn
lại 50%). Quy cách 02ZCK.B017.0200015 (01 
cái).
*Bạc đạn dẫn hướng băng chuyền cong 90
độ (còn lại 50%). Quy cách: 02ZCK.B007.0200
011. ( 100 cái ).</t>
        </is>
      </c>
      <c r="J33" s="215" t="inlineStr">
        <is>
          <t>243-ĐCK/KTG</t>
        </is>
      </c>
      <c r="K33" s="215" t="n"/>
      <c r="L33" s="215" t="inlineStr">
        <is>
          <t>243-ĐCK/KTG</t>
        </is>
      </c>
      <c r="M33" s="98" t="inlineStr">
        <is>
          <t>Hoạt dộng bình thường</t>
        </is>
      </c>
      <c r="N33" s="215" t="inlineStr">
        <is>
          <t>Giang(ĐCK)</t>
        </is>
      </c>
      <c r="O33" s="215" t="inlineStr">
        <is>
          <t>Hùng(N).</t>
        </is>
      </c>
      <c r="P33" s="241" t="n"/>
    </row>
    <row r="34" ht="60" customHeight="1" s="22">
      <c r="A34" s="98" t="inlineStr">
        <is>
          <t xml:space="preserve">       26/04/2026</t>
        </is>
      </c>
      <c r="B34" s="98" t="inlineStr">
        <is>
          <t xml:space="preserve">       26/04/2026</t>
        </is>
      </c>
      <c r="C34" s="115" t="inlineStr">
        <is>
          <t>Thay mới rulo căng, bạc đạn của băng chuyền ME2-9 - Ga 
Quốc Tế</t>
        </is>
      </c>
      <c r="D34" s="91" t="n"/>
      <c r="E34" s="91" t="n"/>
      <c r="F34" s="91" t="n"/>
      <c r="G34" s="215" t="inlineStr">
        <is>
          <t>x</t>
        </is>
      </c>
      <c r="H34" s="242" t="inlineStr">
        <is>
          <t>*Rulo căng của băng chuyền ME2-9 - Ga Quốc Tế bị mòn cốt; bạc đạn có tiếng kêu cơ khí sau quá trình sử dụng.</t>
        </is>
      </c>
      <c r="I34" s="242" t="inlineStr">
        <is>
          <t>*Ru lô chỉnh, căng và đỡ băng tải băng chuyền line 5 Ø 102 x 960mm
*Bạc đạn uct 207</t>
        </is>
      </c>
      <c r="J34" s="215" t="inlineStr">
        <is>
          <t>244-ĐCK/KTG</t>
        </is>
      </c>
      <c r="K34" s="215" t="n"/>
      <c r="L34" s="215" t="inlineStr">
        <is>
          <t>244-ĐCK/KTG</t>
        </is>
      </c>
      <c r="M34" s="98" t="inlineStr">
        <is>
          <t>Hoạt dộng bình thường</t>
        </is>
      </c>
      <c r="N34" s="215" t="inlineStr">
        <is>
          <t>Giang(ĐCK)</t>
        </is>
      </c>
      <c r="O34" s="215" t="inlineStr">
        <is>
          <t>Bình(N).</t>
        </is>
      </c>
      <c r="P34" s="241" t="n"/>
    </row>
    <row r="35" ht="66.75" customHeight="1" s="22">
      <c r="A35" s="246" t="n"/>
      <c r="B35" s="246" t="n"/>
      <c r="C35" s="115" t="inlineStr">
        <is>
          <t>Thay thế bánh xe D90 cho ovan đi số 1, 2, 5 - Ga Quốc Tế</t>
        </is>
      </c>
      <c r="D35" s="91" t="n"/>
      <c r="E35" s="91" t="n"/>
      <c r="F35" s="215" t="n"/>
      <c r="G35" s="215" t="inlineStr">
        <is>
          <t>s</t>
        </is>
      </c>
      <c r="H35" s="242" t="inlineStr">
        <is>
          <t>*Các bánh xe dẫn hướng và bánh chịu tải ovan đi số 1, 2, 5 bị hư hỏng sau thời gian sử dụng.</t>
        </is>
      </c>
      <c r="I35" s="242" t="inlineStr">
        <is>
          <t>*Bánh xe D90( bao gồm ổ bi FAG 6203.2Z).
*Vật liệu: Nhựa PA, cao su NBR.</t>
        </is>
      </c>
      <c r="J35" s="215" t="inlineStr">
        <is>
          <t>247-ĐCK/KTG</t>
        </is>
      </c>
      <c r="K35" s="215" t="n"/>
      <c r="L35" s="215" t="inlineStr">
        <is>
          <t>247-ĐCK/KTG</t>
        </is>
      </c>
      <c r="M35" s="98" t="inlineStr">
        <is>
          <t>Hoạt dộng bình thường</t>
        </is>
      </c>
      <c r="N35" s="215" t="inlineStr">
        <is>
          <t>Giang(ĐCK)</t>
        </is>
      </c>
      <c r="O35" s="246" t="n"/>
      <c r="P35" s="241" t="n"/>
    </row>
    <row r="36" ht="0.75" customHeight="1" s="22"/>
    <row r="37" ht="146.25" customHeight="1" s="22">
      <c r="A37" s="108" t="n">
        <v>45775</v>
      </c>
      <c r="B37" s="215" t="inlineStr">
        <is>
          <t xml:space="preserve"> 28/04/2025 </t>
        </is>
      </c>
      <c r="C37" s="115" t="inlineStr">
        <is>
          <t xml:space="preserve">* Thay  thế bạc đạn dẫn hướng băng chuyền cong 90 độ L1-28
L1-30,L1-36 ;bạc đạn rulobị động băng chuyền cong xoắn 
L3-18; bạc đạn rulo chủ động băng chuyền cong xoắn L4-18
ga quốc tế. </t>
        </is>
      </c>
      <c r="D37" s="91" t="n"/>
      <c r="E37" s="91" t="n"/>
      <c r="F37" s="91" t="n"/>
      <c r="G37" s="215" t="inlineStr">
        <is>
          <t>x</t>
        </is>
      </c>
      <c r="H37" s="115" t="inlineStr">
        <is>
          <t>* Băng chuyền cong 90 độ L1-28
L1-30,L1-36 ;bạc đạn rulobị động băng chuyền cong xoắn 
L3-18; bạc đạn rulo chủ động băng chuyền cong xoắn L4-18
ga quốc tế. Bị hỏng sau quá 
trình sử dụng.</t>
        </is>
      </c>
      <c r="I37" s="115" t="inlineStr">
        <is>
          <t>*Bạc đạn 6004 - 2Z ( SL: 300 cái ). Thay thế
cho bạc đạn các đoạn : L1-28;L1-30;L1-36
* Bạc đạn TU35TF ( SL: 04 cái ). Thay thế 
cho bạc đạn các đoạn L3-18;L4-18.</t>
        </is>
      </c>
      <c r="J37" s="215" t="inlineStr">
        <is>
          <t>246- DCK/KTG</t>
        </is>
      </c>
      <c r="K37" s="215" t="n"/>
      <c r="L37" s="215" t="inlineStr">
        <is>
          <t>246- DCK/KTG</t>
        </is>
      </c>
      <c r="M37" s="98" t="inlineStr">
        <is>
          <t>Hoạt dộng bình thường</t>
        </is>
      </c>
      <c r="N37" s="215" t="inlineStr">
        <is>
          <t>Giang (Đck)</t>
        </is>
      </c>
      <c r="O37" s="215" t="inlineStr">
        <is>
          <t>Hùng (N)</t>
        </is>
      </c>
      <c r="P37" s="241" t="n"/>
    </row>
    <row r="38" ht="258" customHeight="1" s="22">
      <c r="A38" s="246" t="n"/>
      <c r="B38" s="246" t="n"/>
      <c r="C38" s="242" t="inlineStr">
        <is>
          <t>* Thay thế các cảm biến ,môđun profibus,môđun ngõ vào/ngõ 
ra (AS-I  I/O) bị hỏng bằng các vật tư mới cùng chủng loại.</t>
        </is>
      </c>
      <c r="D38" s="246" t="n"/>
      <c r="E38" s="246" t="n"/>
      <c r="F38" s="246" t="n"/>
      <c r="G38" s="246" t="n"/>
      <c r="H38" s="242" t="inlineStr">
        <is>
          <t>*06 cảm biến quang lắp đặt tại 
b/chuyền Induction 1 (03 cái),b/
chuyền induction 3(03 cái) bị 
hỏng,ko xuất điện áp 24VDC 
khi hoạt động .
*Mô đun Profibus của RCP/M5
(bc bốc hly M5) báo lỗi BF (bus 
Fault ) gây mất kết nối với hệ điều khiển bchuyền hành lý ga quốc tế 
*Đoạn bc hlý AL-807(bc đến số 8),L6B01B (bc Line 6),L6-42(bc Line 6),ME1-10(bc Line 6) ga quốc tế mất kết nối với hệ thống đk hệ thống băng chuyền hly do bị hỏng mô đun ngõ vào /ngõ ra ( AS-i I/O ) ( đèn Fault trên môđun sáng đỏ).</t>
        </is>
      </c>
      <c r="I38" s="115" t="inlineStr">
        <is>
          <t xml:space="preserve">* Cảm biến quang E3Z-R86 (loại phản xạ 
gương ) SL ; 06 cái.( xuất kho ).
*Mô đun Profibus - DP - Wago (khối kết nối )
750-343.   SL ; 01 cái.( xuất kho )
*Module AS-I 4 đầu vào và 4 đầu ra - Atrax (
AS-I  GEN I/O). SL; 04 cái. ( xuất kho ).
*Mô đun Profibus DP - Wago 750-343. SL;
05 cái. ( mua dự phòng ).
*Mô đun AS-i  4 đầu vào và 4 đầu ra - Atrax
( Asi - Gen I/O). SL ; 10 cái ( mua dự phòng).
</t>
        </is>
      </c>
      <c r="J38" s="215" t="inlineStr">
        <is>
          <t>34 - DCN-SC/KTG.</t>
        </is>
      </c>
      <c r="K38" s="215" t="n"/>
      <c r="L38" s="215" t="inlineStr">
        <is>
          <t>34 - DCN/KTG.</t>
        </is>
      </c>
      <c r="M38" s="215" t="inlineStr">
        <is>
          <t>Hoạt dộng bình thường</t>
        </is>
      </c>
      <c r="N38" s="215" t="inlineStr">
        <is>
          <t>Trí  (đcn)</t>
        </is>
      </c>
      <c r="O38" s="246" t="n"/>
      <c r="P38" s="241" t="n"/>
    </row>
    <row r="39" ht="360" customHeight="1" s="22">
      <c r="A39" s="120" t="n">
        <v>45776</v>
      </c>
      <c r="B39" s="98" t="inlineStr">
        <is>
          <t xml:space="preserve"> 03/05/2025</t>
        </is>
      </c>
      <c r="C39" s="242" t="inlineStr">
        <is>
          <t xml:space="preserve">*Thay băng tải của băng chuyền 1m2 L1-14, L1-33, L1-43, L2-8, L3-8, L3-10, L4-49, L5B-6, RE2-1, RE2-2, L1B-109, L6-11, L1-32, L2-13, L4-33, L5-33, L5-25A, L5B-5, RE2-6, TR2-5 - ga Quốc tế bằng phương pháp đóng móc (vì các băng chuyền 1m2 không thể đưa máy ép vào hiện trường) </t>
        </is>
      </c>
      <c r="D39" s="119" t="n"/>
      <c r="E39" s="119" t="n"/>
      <c r="F39" s="119" t="n"/>
      <c r="G39" s="207" t="inlineStr">
        <is>
          <t>X</t>
        </is>
      </c>
      <c r="H39" s="242" t="inlineStr">
        <is>
          <t>- Băng tải của các băng chuyền 1m2 L1-33, RE2-1, RE2-2, RE2-6, bị bung mối nối. Băng tải của các băng chuyền 1m2 L1-14, L1-43, L2-8, L3-8, L3-10, L4-49, LSB-6, L1B-109, L6-11, L1-32, L2-13, L4-33, L5-33, L5-25A, LSB-5, TR2-5 bị mục mặt dưới.</t>
        </is>
      </c>
      <c r="I39" s="115" t="inlineStr">
        <is>
          <t>*Băng tải băng chuyền L1-
14, L1-33, L1-43, L2-8, L3-8, L3-10, L4-49, LSB-6, RE2-1, RE2-2, L1B-
109, L6-11 (Phương pháp đóng móc)
Kích thước:
- Bề rộng: 9605mm
- Chiều dài: 4500010mm.
+ Nhà sản xuất Forbo
Siegling, mã số băng tải:
Forbo Siegling E10/2
TX0/V15 LG-SE-AMP-Black (906810) hoặc tương đương.
Băng tải băng L1-32, L2-
13, L4-33, L5-33, L5-25A, LSB-5, RE2-6, TR2-5 (Phương pháp đóng móc)
Kích thước:
- Bề rộng: 960 5mm
- Chiều dài: 30000
10mm.
+ Nhà sản xuất Forbo
Siegling, mã số băng tải:
Forbo Siegling E10/2
TX0/V5H MT-SE-AMP
Black (906809) hoặc tương đương.</t>
        </is>
      </c>
      <c r="J39" s="215" t="n"/>
      <c r="K39" s="215" t="n"/>
      <c r="L39" s="215" t="inlineStr">
        <is>
          <t>232B- ĐCK/KTG</t>
        </is>
      </c>
      <c r="M39" s="215" t="inlineStr">
        <is>
          <t>Hoạt dộng bình thường</t>
        </is>
      </c>
      <c r="N39" s="215" t="inlineStr">
        <is>
          <t>Giang (Đck)</t>
        </is>
      </c>
      <c r="O39" s="207" t="inlineStr">
        <is>
          <t>BÌNH(Đ)</t>
        </is>
      </c>
      <c r="P39" s="241" t="n"/>
    </row>
    <row r="40" ht="30" customHeight="1" s="22">
      <c r="A40" s="127" t="n">
        <v>45717</v>
      </c>
      <c r="B40" s="128" t="n">
        <v>45793</v>
      </c>
      <c r="C40" s="115" t="inlineStr">
        <is>
          <t>* Bảo trì định kì 01 tháng tủ DB hệ thống băng chuyền ga quốc tế.</t>
        </is>
      </c>
      <c r="D40" s="215" t="inlineStr">
        <is>
          <t>x</t>
        </is>
      </c>
      <c r="E40" s="215" t="n"/>
      <c r="F40" s="215" t="n"/>
      <c r="G40" s="215" t="n"/>
      <c r="H40" s="115" t="inlineStr">
        <is>
          <t>Hoạt động bình thường</t>
        </is>
      </c>
      <c r="I40" s="115" t="inlineStr">
        <is>
          <t>* Không có.</t>
        </is>
      </c>
      <c r="J40" s="215" t="inlineStr">
        <is>
          <t>056-ĐCN- BT/KTG</t>
        </is>
      </c>
      <c r="K40" s="215" t="n"/>
      <c r="L40" s="215" t="n"/>
      <c r="M40" s="215" t="inlineStr">
        <is>
          <t>Hoạt dộng bình thường</t>
        </is>
      </c>
      <c r="N40" s="215" t="inlineStr">
        <is>
          <t>Phúc(ĐCN)</t>
        </is>
      </c>
      <c r="O40" s="215" t="inlineStr">
        <is>
          <t>Tú</t>
        </is>
      </c>
      <c r="P40" s="241" t="n"/>
    </row>
    <row r="41">
      <c r="A41" s="129" t="n">
        <v>45748</v>
      </c>
      <c r="B41" s="129" t="n">
        <v>45793</v>
      </c>
      <c r="C41" s="115" t="inlineStr">
        <is>
          <t>* Bảo trì định kì 01 năm tủ DB hệ thống băng chuyền ga quốc tế.</t>
        </is>
      </c>
      <c r="D41" s="91" t="inlineStr">
        <is>
          <t>x</t>
        </is>
      </c>
      <c r="E41" s="91" t="n"/>
      <c r="F41" s="91" t="n"/>
      <c r="G41" s="91" t="n"/>
      <c r="H41" s="115" t="inlineStr">
        <is>
          <t>Hoạt động bình thường</t>
        </is>
      </c>
      <c r="I41" s="115" t="inlineStr">
        <is>
          <t>* Không có.</t>
        </is>
      </c>
      <c r="J41" s="215" t="inlineStr">
        <is>
          <t>078-ĐCN- BT/KTG</t>
        </is>
      </c>
      <c r="K41" s="215" t="n"/>
      <c r="L41" s="215" t="n"/>
      <c r="M41" s="215" t="inlineStr">
        <is>
          <t>Hoạt dộng bình thường</t>
        </is>
      </c>
      <c r="N41" s="215" t="inlineStr">
        <is>
          <t>Phúc(ĐCN)</t>
        </is>
      </c>
      <c r="O41" s="215" t="inlineStr">
        <is>
          <t>Tú</t>
        </is>
      </c>
      <c r="P41" s="241" t="n"/>
    </row>
    <row r="42" ht="120" customHeight="1" s="22">
      <c r="A42" s="108" t="n">
        <v>45800</v>
      </c>
      <c r="B42" s="108" t="n">
        <v>45800</v>
      </c>
      <c r="C42" s="115" t="inlineStr">
        <is>
          <t>* Bảo trì định kì 01 năm tủ DB hệ thống băng chuyền ga quốc tế.</t>
        </is>
      </c>
      <c r="D42" s="91" t="n"/>
      <c r="E42" s="91" t="n"/>
      <c r="F42" s="91" t="n"/>
      <c r="G42" s="215" t="inlineStr">
        <is>
          <t>x</t>
        </is>
      </c>
      <c r="H42" s="115" t="inlineStr">
        <is>
          <t>Do bạc đạn của motor, các bánh răng chuyển động của hộp số motor băng chuyền L3-15-ga Quốc tế bị hư hỏng, mòn sau quá trình sử dụng, không sửa chữa được khi đang khai thác (trong 3 năm gần đây chưa thay thế, sữa chữa lần nào)</t>
        </is>
      </c>
      <c r="I42" s="115" t="inlineStr">
        <is>
          <t>* Động cơ giảm tốc SUMITOMO: trục ra vuông góc&gt; RNYM2-1520-15, 1.5kW, (380v/3 phase)</t>
        </is>
      </c>
      <c r="J42" s="215" t="inlineStr">
        <is>
          <t>251-ĐCK-SC/KTG</t>
        </is>
      </c>
      <c r="K42" s="215" t="n"/>
      <c r="L42" s="215" t="inlineStr">
        <is>
          <t>251-ĐCK/KTG</t>
        </is>
      </c>
      <c r="M42" s="215" t="n"/>
      <c r="N42" s="215" t="inlineStr">
        <is>
          <t>(ĐCK)</t>
        </is>
      </c>
      <c r="O42" s="215" t="inlineStr">
        <is>
          <t>Đồng</t>
        </is>
      </c>
      <c r="P42" s="241" t="n"/>
    </row>
    <row r="43" ht="157.5" customHeight="1" s="22">
      <c r="A43" s="108" t="n">
        <v>45812</v>
      </c>
      <c r="B43" s="108" t="n">
        <v>45812</v>
      </c>
      <c r="C43" s="242" t="inlineStr">
        <is>
          <t>* Thay thế bộ khởi động mềm cấp nguồn cho motor A6-8A và A6--8B
của băng chuyền Oval đến số 06 ga quốc tế bằng bộ khởi động mềm
mới cùng chủng loại.</t>
        </is>
      </c>
      <c r="D43" s="91" t="n"/>
      <c r="E43" s="91" t="n"/>
      <c r="F43" s="91" t="n"/>
      <c r="G43" s="215" t="inlineStr">
        <is>
          <t>x</t>
        </is>
      </c>
      <c r="H43" s="242" t="inlineStr">
        <is>
          <t>* Bộ khởi động mềm cấp cho moto
A6-8A và A6-8B của bc Oval đến 06
ga quôc tế không xuất điện áp ngõ
ra khi hoạt động.</t>
        </is>
      </c>
      <c r="I43" s="242" t="inlineStr">
        <is>
          <t>* Bộ khởi động mềm 3 pha 400VAC,19A;điện áp
đièu khiển 24VDC,nhà sản xuất Allen Bradley,
P/N:150-C19NBR số lượng  ( 01 bộ ).</t>
        </is>
      </c>
      <c r="J43" s="215" t="inlineStr">
        <is>
          <t>016-ĐCN -SC/KTG</t>
        </is>
      </c>
      <c r="K43" s="215" t="n"/>
      <c r="L43" s="215" t="inlineStr">
        <is>
          <t>016-ĐCN/KTG</t>
        </is>
      </c>
      <c r="M43" s="242" t="inlineStr">
        <is>
          <t xml:space="preserve">* Tủ điện MCP/A6 và bằng 
chuyền đến A6 hoạt động 
bình thường sau khi thay thế bộ khởi động mềm. Dòng điện hoạt động của motor là 4.7A.
</t>
        </is>
      </c>
      <c r="N43" s="215" t="inlineStr">
        <is>
          <t>(ĐCN)</t>
        </is>
      </c>
      <c r="O43" s="215" t="inlineStr">
        <is>
          <t>Tú (N)</t>
        </is>
      </c>
      <c r="P43" s="241" t="n"/>
    </row>
    <row r="44" hidden="1" ht="175.5" customHeight="1" s="22">
      <c r="A44" s="250" t="n"/>
      <c r="B44" s="250" t="n"/>
      <c r="C44" s="242" t="n"/>
      <c r="D44" s="246" t="n"/>
      <c r="E44" s="246" t="n"/>
      <c r="F44" s="246" t="n"/>
      <c r="G44" s="246" t="n"/>
      <c r="H44" s="242" t="n"/>
      <c r="I44" s="242" t="n"/>
      <c r="J44" s="215" t="n"/>
      <c r="K44" s="215" t="n"/>
      <c r="L44" s="215" t="n"/>
      <c r="M44" s="241" t="n"/>
      <c r="N44" s="250" t="n"/>
      <c r="O44" s="250" t="n"/>
      <c r="P44" s="241" t="n"/>
    </row>
    <row r="45" ht="133.5" customHeight="1" s="22">
      <c r="A45" s="246" t="n"/>
      <c r="B45" s="246" t="n"/>
      <c r="C45" s="242" t="inlineStr">
        <is>
          <t>*Thay thế 06 cảm biến quang lắp tại BC Induction 1(03 cai).,BC Ind 3
(03 cái) bằng các cảm biến quang mới cùng chủng loại.
*Thay thế môdunProfibus của tủ điện RCP/M5( BC bốc hành lý M5)
bằng môđun mới cùng loại.
* Thay thế môđun ngõ vào/ngõ ra ( AS-I I/O )của đoạn bc hlý AL-807
( BC đến số 8 ),L6B01B ( BC line 6 ),L6-42 ( BC line 6 ),ME110(BC line6)
bằng môdun mới cùng loại.</t>
        </is>
      </c>
      <c r="D45" s="91" t="n"/>
      <c r="E45" s="91" t="n"/>
      <c r="F45" s="91" t="n"/>
      <c r="G45" s="215" t="inlineStr">
        <is>
          <t>x</t>
        </is>
      </c>
      <c r="H45" s="242" t="inlineStr">
        <is>
          <t>* Các cảm biến , modun ngõ vao/
ngõ ra ( AS-I I/O ) bị hỏng sau thời 
gian sử dụng</t>
        </is>
      </c>
      <c r="I45" s="242" t="inlineStr">
        <is>
          <t>* Cảm biến quang E3Z-R86( loại p/xạ gương )
OMRON 12-24VDC ( SL 05 cái )
* Cảm biến quang E3Z-R86 (Check-in Sensor,
PNP type ) ( SL 01 cái ).
* Môdun Profibus DP-Wago ( khối kết nối )
750-343 ( SL 01 cái ).
* Module AS-I 4 đầu vào và 4 đầu ra -Atrax
( GEN I/O ) ( SL 04 cái ).</t>
        </is>
      </c>
      <c r="J45" s="102" t="inlineStr">
        <is>
          <t>034 -ĐCN-SC/KTG
(6/5/2025)</t>
        </is>
      </c>
      <c r="K45" s="215" t="n"/>
      <c r="L45" s="215" t="inlineStr">
        <is>
          <t>034-DCN/KTG</t>
        </is>
      </c>
      <c r="M45" s="242" t="inlineStr">
        <is>
          <t>* Các thiết bị hoạt động bt 
sau khi thay thế.</t>
        </is>
      </c>
      <c r="N45" s="246" t="n"/>
      <c r="O45" s="246" t="n"/>
      <c r="P45" s="241" t="n"/>
    </row>
    <row r="46" ht="106.5" customHeight="1" s="22">
      <c r="A46" s="108" t="n">
        <v>45821</v>
      </c>
      <c r="B46" s="108" t="n">
        <v>45821</v>
      </c>
      <c r="C46" s="242" t="inlineStr">
        <is>
          <t>* Thay băng tải của băng chuyền gom hành lý L6-40;L5-25A bằng 
cách đóng móc nố.</t>
        </is>
      </c>
      <c r="D46" s="91" t="n"/>
      <c r="E46" s="91" t="n"/>
      <c r="F46" s="91" t="n"/>
      <c r="G46" s="215" t="inlineStr">
        <is>
          <t>x</t>
        </is>
      </c>
      <c r="H46" s="242" t="inlineStr">
        <is>
          <t>* Do băng tải của BC gom L6-40;
L5-25A bị hỏng trong quá tình sử
dụng ( trong 3 năm gần đây chưa 
thay băng tải cho BC L6-40;L5-25A
lần nào ).</t>
        </is>
      </c>
      <c r="I46" s="242" t="inlineStr">
        <is>
          <t>* Móc xương cá bằng Inox ;FASTENER YL1;dùng
cho băng tải ( 1 hộp = 3,6m) mã vật tư 
02BCH.M004.0000007 . Số lượng : 02 hộp.</t>
        </is>
      </c>
      <c r="J46" s="215" t="inlineStr">
        <is>
          <t>210-ĐCK-SC/KTG</t>
        </is>
      </c>
      <c r="K46" s="215" t="n"/>
      <c r="L46" s="215" t="inlineStr">
        <is>
          <t>210-ĐCK/KTG</t>
        </is>
      </c>
      <c r="M46" s="242" t="inlineStr">
        <is>
          <t>* Các thiết bị hoạt động bt 
sau khi thay thế.</t>
        </is>
      </c>
      <c r="N46" s="215" t="inlineStr">
        <is>
          <t>( ĐCK)</t>
        </is>
      </c>
      <c r="O46" s="215" t="inlineStr">
        <is>
          <t>Tú (N)</t>
        </is>
      </c>
      <c r="P46" s="91" t="n"/>
    </row>
    <row r="47" ht="123.75" customHeight="1" s="22">
      <c r="A47" s="246" t="n"/>
      <c r="B47" s="246" t="n"/>
      <c r="C47" s="114" t="inlineStr">
        <is>
          <t>* Thay mới rulo bị động và bạc đạn của BC L3-31 ga đi quốc tế .</t>
        </is>
      </c>
      <c r="D47" s="246" t="n"/>
      <c r="E47" s="246" t="n"/>
      <c r="F47" s="246" t="n"/>
      <c r="G47" s="246" t="n"/>
      <c r="H47" s="242" t="inlineStr">
        <is>
          <t>* Do rulo bị động của BC  L3-31 ,ga 
quốc tế đi bị mòn cốt ;bạc đạn có
tiếng kêu cơ khí sau quá trình sử
dụng.</t>
        </is>
      </c>
      <c r="I47" s="242" t="inlineStr">
        <is>
          <t>* Rulo bị động phi 114 SA -PL020T (Line 1 -4 );
(Băng chuyền rộng 1000mm). Đường kính trục 
phi 114mm. Dài 1110mm. Vật liệu : Trục S45C,
ống thép SS400. (theo bản vẽ 1/14 ngày 
06/06/2024 đính kèm). Mã vật tư 
02BCH.R003.0511420. SL = 01 cái.
* Bạc đạn Nachi UCFK 207. mã 02BCH.B001.03
32070. SL= 02 cái.</t>
        </is>
      </c>
      <c r="J47" s="215" t="inlineStr">
        <is>
          <t>255-ĐCK-SC/KTG</t>
        </is>
      </c>
      <c r="K47" s="215" t="n"/>
      <c r="L47" s="215" t="inlineStr">
        <is>
          <t>255-ĐCK/KTG</t>
        </is>
      </c>
      <c r="M47" s="242" t="n"/>
      <c r="N47" s="246" t="n"/>
      <c r="O47" s="246" t="n"/>
      <c r="P47" s="246" t="n"/>
    </row>
    <row r="48" ht="165" customHeight="1" s="22">
      <c r="A48" s="108" t="n">
        <v>45824</v>
      </c>
      <c r="B48" s="108" t="n">
        <v>45827</v>
      </c>
      <c r="C48" s="114" t="inlineStr">
        <is>
          <t>* Thay thế rulo chủ động và bạc đạn, thay băng tải của băng chuyền L1-33 - Ga Quốc tế bằng phương pháp đóng móc nối</t>
        </is>
      </c>
      <c r="D48" s="91" t="n"/>
      <c r="E48" s="91" t="n"/>
      <c r="F48" s="91" t="n"/>
      <c r="G48" s="215" t="inlineStr">
        <is>
          <t>x</t>
        </is>
      </c>
      <c r="H48" s="242" t="inlineStr">
        <is>
          <t>* * Do rulo chủ động và bạc đạn, mối nối của băng chuyền L1-33-Ga Quốc tế bị hỏng sau thời gian sử dụng (trong 3 năm gần đây chưa thay rulo chủ dộng và bạc đạn lần nào, băng tải băng chuyền L1-33 ga Quốc tế đã được đóng móc nối vào tháng 03/2025 (chỉ đóng móc, chưa thay băng tải))</t>
        </is>
      </c>
      <c r="I48" s="242" t="inlineStr">
        <is>
          <t xml:space="preserve">* Ru lô chủ động Dia 185 (SA - PL002T). Mã vật tư: 02BCH.R003.0818522. SL: 01
* Bạc đạn Nachi UCF 209. Mã vật tư: 02BCH.B001.0302090. SL: 02
* Móc nối băng tải Intake U1 (Mỗi hộp 12 thanh, mỗi thanh dài 300mm); Vật liệu Inox 304. Mã vật tư: 02BCH.M004.0000007. SL: 01
* Băng tải EX10/2 0+ 10 Black ASFR W950 x 3.800mm. Mã vật tư: BCH.B009.2010610. SL: 01
</t>
        </is>
      </c>
      <c r="J48" s="215" t="inlineStr">
        <is>
          <t>257-ĐCK-SC/KTG</t>
        </is>
      </c>
      <c r="K48" s="215" t="n"/>
      <c r="L48" s="215" t="inlineStr">
        <is>
          <t>257-ĐCK/KTG</t>
        </is>
      </c>
      <c r="M48" s="242" t="n"/>
      <c r="N48" s="215" t="inlineStr">
        <is>
          <t>( ĐCK)</t>
        </is>
      </c>
      <c r="O48" s="215" t="inlineStr">
        <is>
          <t>Đồng (N)</t>
        </is>
      </c>
      <c r="P48" s="241" t="n"/>
    </row>
    <row r="49">
      <c r="A49" s="246" t="n"/>
      <c r="B49" s="246" t="n"/>
      <c r="C49" s="114" t="n"/>
      <c r="D49" s="246" t="n"/>
      <c r="E49" s="246" t="n"/>
      <c r="F49" s="246" t="n"/>
      <c r="G49" s="246" t="n"/>
      <c r="H49" s="241" t="n"/>
      <c r="I49" s="241" t="n"/>
      <c r="J49" s="215" t="n"/>
      <c r="K49" s="215" t="n"/>
      <c r="L49" s="215" t="n"/>
      <c r="M49" s="242" t="n"/>
      <c r="N49" s="246" t="n"/>
      <c r="O49" s="246" t="n"/>
      <c r="P49" s="241" t="n"/>
    </row>
    <row r="50" ht="409.5" customHeight="1" s="22">
      <c r="A50" s="108" t="n">
        <v>45832</v>
      </c>
      <c r="B50" s="108" t="n">
        <v>45833</v>
      </c>
      <c r="C50" s="114" t="inlineStr">
        <is>
          <t>* Thay chân kích lật khay 70 đến 79; thiết bị nghiêng khay 75 đến 79; tấm nhựa đỡ khay các khay số 03, 44, 87, 134; chi tiết đỡ khay gỗ Sorter với Tilting device khay 72 đến 79; khớp nối cầu khay 22, 23, 25, 35, 46, 47, 49, 50, 58, 59, 76, 109, 146; bánh xe dẫn hướng Sorter các khay số 1, 43, 71, 111, 134; chốt nhựa các thiết bị nghiêng khay 70 đến 79; vít xoắn khay 45 đến 79 và 113 đến 147; tấm nhựa đỡ tấm che cart khay 37, 71, 92, 123; chân kích lật bên trái (nằm trên đường ray); chân kích lật bên phải (nằm trên đường ray) – ga Quốc tế</t>
        </is>
      </c>
      <c r="D50" s="91" t="inlineStr">
        <is>
          <t>x</t>
        </is>
      </c>
      <c r="E50" s="91" t="n"/>
      <c r="F50" s="91" t="n"/>
      <c r="G50" s="215" t="n"/>
      <c r="H50" s="242" t="inlineStr">
        <is>
          <t xml:space="preserve">** Hệ thống phân loại hành lý – Sortẻ có tổng cộng 147 khay, trong đó hiện tại:
- Chân kích lậ khay 70 đến 79 bị mòn, bể (Mỗi thiết bị nghiêng có 2 chân kích lật)
- Thiết bị nghiêng khay 75 đến 79 bị mòn (Mỗi khay có 1 thiết bị nghiêng)
- Tấm nhựa đỡ khay các khay số 03, 44, 87, 134 bị nứt (tấm nhựa đỡ khay dưới có mỗi khay có 2 tấm nhựa đỡ khay, hiện mỗi khay bị nứt 1 tấm nhựa đỡ khay)
- Chi tiết đỡ khay gỗ Sorter với Tilting device khay 72 đến 79 bị gãy khớp nối. (Mỗi khay có 2 chi tiết đỡ)
- Khớp nối cầu khay 22, 23, 25 35, 46, 47, 49, 50, 58, 59, 76, 109, 146 bị mòn, rơ (Mỗi khay có 1 khớp nối)
- Bánh xe dẫn hướng Sorter các khay số 1, 43, 71, 111, 134 bị bong tróc lớp cao su, có tiếng kêu khi hoạt động (Mỗi khay có 2 bánh xe dẫn hướng)
- Chốt nhựa của thiết bị nghiêng khay 70 đến 79 bị mòn. (Mỗi thiết bị nghiêng có 4 chốt nhựa)
- Vít xoắn khay 45 đến 79 và 113 đến 147 bị rơ, tuôn ren. (Mỗi khay có 1 vít xoắn)
- Tấm nhựa đỡ tấm che cart khay 37, 71, 92, 123 bị gãy. (Mỗi khay có 1 tấm nhựa đỡ)
- Chân kích lật bên trái chute 1,2 (nằm trên đường ray) bị mòn.
- Chân kích lật bên phải chute 5, 6 (nằm trên đường ray) bị mòn.
</t>
        </is>
      </c>
      <c r="I50" s="242" t="inlineStr">
        <is>
          <t xml:space="preserve">Chốt nhựa của thiết bị nghiêng 244B730. Mã số: 02BCH.C510.0200010. SL:40 cái. Khay 70 đến 79
Chân kích lật (Activation arm, complete Order No. 242B773). Mã số: 02BCH.C501.0277300. SL: 20 cái. Khay 70 đến 79
Thiết bị nghiêng (Tilting Device, S2000 TT, FKI Logistex, 348B668). Mã số: 02BCH.T502.0000010. SL:5 cái. Khay 75 đến 79
Tấm nhựa đỡ khay (bên dưới) (Order.255B370) (Weigh distribution bearing, bottom part). Mã số: 02BCH.T003.0500050. SL:4 cái. Khay số 03, 44, 87, 134
Chi tiết đỡ khay gỗ Sorter với Tilting device Order No.338B933. Mã số: 02BCH.T003.0500200. SL:16 cái. Khay 72 đến 79
Khớp nối cầu No.304B538 (Sorter). Mã số: 02BCH.K503.0104358. SL:13 cái. Khay 22, 23, 25, 35, 46, 47, 49, 50, 58, 59, 76, 109, 146
Bánh xe dẫn hướng Sorter. Mã số: 02BCH.B032.0300900. SL: 10 cái. Khay 1, 43, 71, 111, 134
Vít xoắn No.141A319. Mã số: 02BCH.V004.0141319. SL: 70 cái. Khay 45 đến 79, 113 đến 147
Tấm nhựa đỡ tấm che cart (Suspension for cover 310B374). Mã số: 02BCH.T003.0700010. SL:4 cái. Khay số 37, 71, 92, 123
Chân kích lật bên trái (Wedge, left, 271B465). Mã số: 02BCH.C501.0271465. SL:2 cái. Chute 1,2
Chân kích lật bên phải (Wedge, right, 271B475). Mã số: 02BCH.C501.0271475. SL:2 cái. Chute 5,6
</t>
        </is>
      </c>
      <c r="J50" s="215" t="inlineStr">
        <is>
          <t>259-ĐCK/KTG</t>
        </is>
      </c>
      <c r="K50" s="215" t="n"/>
      <c r="L50" s="215" t="inlineStr">
        <is>
          <t>259-ĐCK/KTG</t>
        </is>
      </c>
      <c r="M50" s="242" t="n"/>
      <c r="N50" s="215" t="inlineStr">
        <is>
          <t>( ĐCK)</t>
        </is>
      </c>
      <c r="O50" s="215" t="inlineStr">
        <is>
          <t>Đồng (N)</t>
        </is>
      </c>
      <c r="P50" s="241" t="n"/>
    </row>
    <row r="51">
      <c r="A51" s="246" t="n"/>
      <c r="B51" s="246" t="n"/>
      <c r="C51" s="114" t="n"/>
      <c r="D51" s="246" t="n"/>
      <c r="E51" s="246" t="n"/>
      <c r="F51" s="246" t="n"/>
      <c r="G51" s="246" t="n"/>
      <c r="H51" s="241" t="n"/>
      <c r="I51" s="241" t="n"/>
      <c r="J51" s="215" t="n"/>
      <c r="K51" s="215" t="n"/>
      <c r="L51" s="215" t="n"/>
      <c r="M51" s="242" t="n"/>
      <c r="N51" s="246" t="n"/>
      <c r="O51" s="246" t="n"/>
      <c r="P51" s="241" t="n"/>
    </row>
    <row r="52" ht="240" customHeight="1" s="22">
      <c r="A52" s="108" t="n">
        <v>45834</v>
      </c>
      <c r="B52" s="108" t="n">
        <v>45834</v>
      </c>
      <c r="C52" s="114" t="inlineStr">
        <is>
          <t>* Thay cart nhôm các khay số 47, 48, 77, 78, 95; Tấm nhựa đỡ khay (bên dưới) khay sô 47, 70, 78; Bánh xe chịu tải khay số 47, 48, 77, 78, 95 - ga Quốc tế.</t>
        </is>
      </c>
      <c r="D52" s="91" t="inlineStr">
        <is>
          <t>x</t>
        </is>
      </c>
      <c r="E52" s="91" t="n"/>
      <c r="F52" s="91" t="n"/>
      <c r="G52" s="215" t="n"/>
      <c r="H52" s="242" t="inlineStr">
        <is>
          <t xml:space="preserve">* Hệ thống phân loại hành lý – Sorter có tổng cộng 147 khay, trong đó hiện tại:
- Cart nhôm các khay số 47, 48, 77, 78, 95 bị xoắn, vênh (mỗi khay có 1 cart nhôm)
- Tấm nhựa đỡ khay (bên dưới) các khay số 47, 70, 78 bị bể mối nối (tấm nhựa đỡ khay dưới có mỗi khay có 2 tấm nhựa đỡ khay)
- Bánh xe chịu tải Sorter các khay số 47, 48, 77, 78, 95  bị rơ mòn (Mỗi khay có 2 bánh)
.
</t>
        </is>
      </c>
      <c r="I52" s="242" t="inlineStr">
        <is>
          <t xml:space="preserve">Cart nhôm (Cart complete). Mã số: 02BCH.C105.0100010. SL: 05 cái. Khay số 47,48,77,78,95
Tấm nhựa đỡ khay (bên dưới) (Order.250B720). Mã số: 02BCH.T003.0500100. SL: 03 cái. Khay số 47,70,78
Bánh xe chịu tải Sorter, 450B444. Mã số: 02BCH.B032.0101040. SL: 09 cái. khay số 47,48,77,78,95
</t>
        </is>
      </c>
      <c r="J52" s="215" t="inlineStr">
        <is>
          <t>261-ĐCK/KTG</t>
        </is>
      </c>
      <c r="K52" s="215" t="n"/>
      <c r="L52" s="215" t="inlineStr">
        <is>
          <t>261-ĐCK/KTG</t>
        </is>
      </c>
      <c r="M52" s="242" t="n"/>
      <c r="N52" s="215" t="inlineStr">
        <is>
          <t>( ĐCK)</t>
        </is>
      </c>
      <c r="O52" s="215" t="inlineStr">
        <is>
          <t>Đồng (N)</t>
        </is>
      </c>
      <c r="P52" s="241" t="n"/>
    </row>
    <row r="53">
      <c r="A53" s="246" t="n"/>
      <c r="B53" s="246" t="n"/>
      <c r="C53" s="114" t="n"/>
      <c r="D53" s="246" t="n"/>
      <c r="E53" s="246" t="n"/>
      <c r="F53" s="246" t="n"/>
      <c r="G53" s="246" t="n"/>
      <c r="H53" s="241" t="n"/>
      <c r="I53" s="241" t="n"/>
      <c r="J53" s="215" t="n"/>
      <c r="K53" s="215" t="n"/>
      <c r="L53" s="215" t="n"/>
      <c r="M53" s="242" t="n"/>
      <c r="N53" s="246" t="n"/>
      <c r="O53" s="246" t="n"/>
      <c r="P53" s="241" t="n"/>
    </row>
    <row r="54" ht="105" customHeight="1" s="22">
      <c r="C54" s="114" t="inlineStr">
        <is>
          <t>* Thay băng tải, dây curoa truyền động của băng chuyền số 3 Induction 4 của hệ thống Sorter - Ga Quốc tế</t>
        </is>
      </c>
      <c r="D54" s="213" t="n"/>
      <c r="E54" s="213" t="n"/>
      <c r="F54" s="213" t="n"/>
      <c r="G54" s="207" t="inlineStr">
        <is>
          <t>x</t>
        </is>
      </c>
      <c r="H54" s="242" t="inlineStr">
        <is>
          <t xml:space="preserve">* Băng tải của băng chuyền số 3 Induction 4 - Ga quốc tế bị mòn, rách mép; dây cuaroa truyền dộng băng chuyền số 3 Induction 4 bị nứt bề mặt
</t>
        </is>
      </c>
      <c r="I54" s="242" t="inlineStr">
        <is>
          <t xml:space="preserve">Băng tải siegling transilon E8/2 UO/V15LG SE Black W1000xL1.439mm. Mã số:02BCH.B009.0818420 . SL: 01cái.
Dây curoa truyền động: (Timming belt) Rộng 45mm, chu vi 900mm, model 900-S5M. Mã số:02BCH.D001.0000010. SL: 01 cái.
</t>
        </is>
      </c>
      <c r="J54" s="215" t="inlineStr">
        <is>
          <t>258-ĐCK/KTG</t>
        </is>
      </c>
      <c r="K54" s="215" t="n"/>
      <c r="L54" s="215" t="inlineStr">
        <is>
          <t>258-ĐCK/KTG</t>
        </is>
      </c>
      <c r="M54" s="242" t="inlineStr">
        <is>
          <t>Đã hoàn tất công tác thay thế. Thiết bị hoạt động bình thường. Đề nghị đưa thiết bị vào khai thác</t>
        </is>
      </c>
      <c r="N54" s="207" t="inlineStr">
        <is>
          <t>( ĐCK)</t>
        </is>
      </c>
      <c r="O54" s="207" t="inlineStr">
        <is>
          <t>Đồng (N)</t>
        </is>
      </c>
      <c r="P54" s="241" t="n"/>
    </row>
    <row r="55">
      <c r="C55" s="239" t="n"/>
      <c r="D55" s="250" t="n"/>
      <c r="E55" s="250" t="n"/>
      <c r="F55" s="250" t="n"/>
      <c r="G55" s="250" t="n"/>
      <c r="H55" s="119" t="n"/>
      <c r="I55" s="119" t="n"/>
      <c r="J55" s="215" t="n"/>
      <c r="K55" s="215" t="n"/>
      <c r="L55" s="215" t="n"/>
      <c r="M55" s="242" t="n"/>
      <c r="N55" s="250" t="n"/>
      <c r="O55" s="250" t="n"/>
      <c r="P55" s="119" t="n"/>
    </row>
    <row r="56" ht="165" customHeight="1" s="22">
      <c r="A56" s="241" t="n"/>
      <c r="B56" s="241" t="n"/>
      <c r="C56" s="242" t="inlineStr">
        <is>
          <t>* Thay tấm nhựa đỡ tấm che nhựa khay số 128 và 145 của hệ thống Sorter - Ga Quốc tế</t>
        </is>
      </c>
      <c r="D56" s="241" t="n"/>
      <c r="E56" s="241" t="n"/>
      <c r="F56" s="241" t="n"/>
      <c r="G56" s="215" t="inlineStr">
        <is>
          <t>x</t>
        </is>
      </c>
      <c r="H56" s="242" t="inlineStr">
        <is>
          <t xml:space="preserve">* Hệ thống phân loại hành lý – Sorter có tổng cộng 147 khay, trong đó hiện tại:
- Tấm nhựa đỡ tấm che nhựa  các khay số 128 và 145 bị bể(mỗi khay có 2 tấm, hiện khay 128 và khay 145 mỗi khay bị bể 1 tấm)
.
</t>
        </is>
      </c>
      <c r="I56" s="242" t="inlineStr">
        <is>
          <t xml:space="preserve">Tấm nhựa đỡ tấm che nhựa (Order No.336B269). Nhà sản xuất : BEUMER GROUP. Mã sản phẩm: 10064103. Xuất xứ: Đan Mạch. Mã số: 02BCH.T003.0702690. SL:02 cái
</t>
        </is>
      </c>
      <c r="J56" s="215" t="inlineStr">
        <is>
          <t>262-ĐCK/KTG</t>
        </is>
      </c>
      <c r="K56" s="215" t="n"/>
      <c r="L56" s="215" t="inlineStr">
        <is>
          <t>262-ĐCK/KTG</t>
        </is>
      </c>
      <c r="M56" s="242" t="inlineStr">
        <is>
          <t>Đã hoàn tất công tác thay thế. Thiết bị hoạt động bình thường. Đề nghị đưa thiết bị vào khai thác</t>
        </is>
      </c>
      <c r="N56" s="98" t="inlineStr">
        <is>
          <t>( ĐCK)</t>
        </is>
      </c>
      <c r="O56" s="215" t="inlineStr">
        <is>
          <t>Đồng (N)</t>
        </is>
      </c>
      <c r="P56" s="241" t="n"/>
    </row>
    <row r="57" ht="409.5" customHeight="1" s="22">
      <c r="A57" s="108" t="n">
        <v>45840</v>
      </c>
      <c r="B57" s="108" t="n">
        <v>45840</v>
      </c>
      <c r="C57" s="242" t="inlineStr">
        <is>
          <t>*Thay thế Rulo chủ động, bị động của băng chuyền L1-10; rulo chỉnh LS- 13; rulo cằng L4-48; rulo chỉnh L4-45(kèm bạc đạn) -ga Quốc tế - Ga Quốc tế.</t>
        </is>
      </c>
      <c r="D57" s="241" t="n"/>
      <c r="E57" s="241" t="n"/>
      <c r="F57" s="241" t="n"/>
      <c r="G57" s="215" t="inlineStr">
        <is>
          <t>x</t>
        </is>
      </c>
      <c r="H57" s="242" t="inlineStr">
        <is>
          <t>*Do rulo chủ động, bị động của băng chuyền L1-10; rulo chỉnh L5-13; rulo căng
L4-48; rulo chỉnh L4-45 -ga Quốc tế bị hỏng sau thời gian sử dụng (trong 3 năm gần đây chưa thay rulo chủ động và bạc đạn lần nào.</t>
        </is>
      </c>
      <c r="I57" s="242" t="inlineStr">
        <is>
          <t>Ru lô chủ động Dia 185 (SA-PL010T) (1 cái)
Bạc đạn Nachi UCF 209 (2 cái)
Ru lô bị động 0114 SA-PL020T (Line 1-4), (Băng chuyển rộng 1000mm) |
Đường kính: Ф114mm. Dài 1110mm. Vật liêu:Trục S45C, ông thép SS400. (Theo bản về
1/14 ngày 06/06/2024 đính 
kèm) (1 cái)
Bạc đạn Nachi UCFK 207 (2 cái)
Rulo chỉnh, căng và đỡ băng tải băng chuyền line 5 ® 102 x
960mm (1 cái)
Bạc đạn Nachi UCFL 207 (2 cái)
Ru lô căng O 140 SA-PL030T
(Line 1~4)(Băng chuyền rộng
1000mm). Đường kính
Ф140mm. Dài 1130mm. Vật liệu: Trục S45C, ống thép (1cái)
SS400. (Theo bản vẽ 5/14 ngày
06/06/2024 đính kèm).
Bạc đạn Asahi UCT 207 (2 cái)
Ru lô chỉnh O 140 SA-PLO40T (Line 1~4)(Băng chuyền rộng:1000mm).
Đường kính: Ф102mm. Dài:
1100mm. Vật liệu: Trục S45C, ống thép SS400. (Theo bản vẽ
4/14 ngày 06/06/2024 đính kèm) (1 cái)
Bạc đạn(Gối đỡ) UCFL 206
(J7)-FAG (2 cái)</t>
        </is>
      </c>
      <c r="J57" s="215" t="inlineStr">
        <is>
          <t>264-ĐCK/KTG</t>
        </is>
      </c>
      <c r="K57" s="215" t="n"/>
      <c r="L57" s="215" t="inlineStr">
        <is>
          <t>264-ĐCK/KTG</t>
        </is>
      </c>
      <c r="M57" s="242" t="inlineStr">
        <is>
          <t>Đã hoàn tất công tác thay thế. Thiết bị hoạt động bình thường. Đề nghị đưa thiết bị vào khai thác</t>
        </is>
      </c>
      <c r="N57" s="98" t="n"/>
      <c r="O57" s="215" t="inlineStr">
        <is>
          <t>Bình(N)</t>
        </is>
      </c>
      <c r="P57" s="241" t="n"/>
    </row>
    <row r="58" ht="75" customHeight="1" s="22">
      <c r="A58" s="228" t="n">
        <v>45840</v>
      </c>
      <c r="B58" s="228" t="n">
        <v>45840</v>
      </c>
      <c r="C58" s="242" t="inlineStr">
        <is>
          <t>*Thay mới rulo chủ động và bạc đạn của băng chuyền L2-37- Ga Quốc Tế-Ga Quốc Tế</t>
        </is>
      </c>
      <c r="D58" s="91" t="n"/>
      <c r="E58" s="91" t="n"/>
      <c r="F58" s="91" t="n"/>
      <c r="G58" s="91" t="inlineStr">
        <is>
          <t>x</t>
        </is>
      </c>
      <c r="H58" s="242" t="inlineStr">
        <is>
          <t>Do rulo chủ động và bạc đạn của băng chuyền L2-37- Ga Quốc tế bị hỏng sau thời gian sử dụng (trong 3 năm gần đây chưa thay lần nào).</t>
        </is>
      </c>
      <c r="I58" s="242" t="inlineStr">
        <is>
          <t xml:space="preserve">Ru lô chủ động Dia
0185 (SA-PL002T) (1 cái)
Bạc đạn Nachi UCF
209 (2 cái)
</t>
        </is>
      </c>
      <c r="J58" s="215" t="inlineStr">
        <is>
          <t>253-ĐCK/KTG</t>
        </is>
      </c>
      <c r="K58" s="215" t="n"/>
      <c r="L58" s="215" t="inlineStr">
        <is>
          <t>253-ĐCK/KTG</t>
        </is>
      </c>
      <c r="M58" s="242" t="inlineStr">
        <is>
          <t>Đã hoàn tất công tác thay thế. Thiết bị hoạt động bình thường. Đề nghị đưa thiết bị vào khai thác</t>
        </is>
      </c>
      <c r="N58" s="98" t="inlineStr">
        <is>
          <t>( ĐCK)</t>
        </is>
      </c>
      <c r="O58" s="250" t="n"/>
      <c r="P58" s="241" t="n"/>
    </row>
    <row r="59" ht="105" customHeight="1" s="22">
      <c r="A59" s="228" t="n">
        <v>45840</v>
      </c>
      <c r="B59" s="228" t="n">
        <v>45840</v>
      </c>
      <c r="C59" s="242" t="inlineStr">
        <is>
          <t>Thay băng tải, bạc đạn dẫn hướng của băng chuyền cong 90 độ L4-44 ga Quốc Tế</t>
        </is>
      </c>
      <c r="D59" s="91" t="n"/>
      <c r="E59" s="91" t="n"/>
      <c r="F59" s="91" t="n"/>
      <c r="G59" s="91" t="inlineStr">
        <is>
          <t>x</t>
        </is>
      </c>
      <c r="H59" s="242" t="inlineStr">
        <is>
          <t>Do băng băng tải, bạc đạn của băng chuyền cong 90 độ L4-44 - ga QT bị hỏng sau quá trình sử dụng.</t>
        </is>
      </c>
      <c r="I59" s="75" t="inlineStr">
        <is>
          <t>Băng tải cong 90 độ (line
1~4) FGS-FB-1000-1000-90.
TS1500-100. IR 1000, BN 1000, angle 90 degree. Belt type: AMP KT96V6 2 plies.
Nhãn hiệu: Honeywell
Transnorm. Xuất xứ : Trung Quốc (1 cái)
bạc đạn 6004.2Z - FAG ( 100 cái)</t>
        </is>
      </c>
      <c r="J59" s="215" t="inlineStr">
        <is>
          <t>254-ĐCK/KTG</t>
        </is>
      </c>
      <c r="K59" s="215" t="n"/>
      <c r="L59" s="215" t="inlineStr">
        <is>
          <t>254-ĐCK/KTG</t>
        </is>
      </c>
      <c r="M59" s="242" t="inlineStr">
        <is>
          <t>Đã hoàn tất công tác thay thế. Thiết bị hoạt động bình thường. Đề nghị đưa thiết bị vào khai thác</t>
        </is>
      </c>
      <c r="N59" s="98" t="n"/>
      <c r="O59" s="250" t="n"/>
      <c r="P59" s="241" t="n"/>
    </row>
    <row r="60" ht="120" customHeight="1" s="22">
      <c r="C60" s="242" t="inlineStr">
        <is>
          <t>Băng tải băng chuyền cong SM2-3 bị hỏng sau thời gian sử dụng.</t>
        </is>
      </c>
      <c r="D60" s="242" t="n"/>
      <c r="E60" s="242" t="n"/>
      <c r="F60" s="242" t="n"/>
      <c r="G60" s="242" t="n"/>
      <c r="H60" s="242" t="inlineStr">
        <is>
          <t>Băng tải băng chuyền cong SM2-3 bị hỏng sau thời gian sử dụng.</t>
        </is>
      </c>
      <c r="I60" s="242" t="inlineStr">
        <is>
          <t>*Băng tải cong 90 độ(rộng
1000mm) (line 1-4): Model:
FGS-FB-1000-1000-90. R/N:
1000mm. BN: 1000mm.
Angle: 90 degree. Belt type:
KT96V6 2 ply black.
TS1500-100. Honeywell Transn. Xuất xứ: Trung Quốc (1 cái)</t>
        </is>
      </c>
      <c r="J60" s="215" t="inlineStr">
        <is>
          <t>256-ĐCK/KTG</t>
        </is>
      </c>
      <c r="K60" s="215" t="n"/>
      <c r="L60" s="215" t="inlineStr">
        <is>
          <t>256-ĐCK/KTG</t>
        </is>
      </c>
      <c r="M60" s="242" t="inlineStr">
        <is>
          <t>Đã hoàn tất công tác thay thế. Thiết bị hoạt động bình thường. Đề nghị đưa thiết bị vào khai thác</t>
        </is>
      </c>
      <c r="N60" s="242" t="n"/>
      <c r="O60" s="246" t="n"/>
      <c r="P60" s="242" t="n"/>
    </row>
  </sheetData>
  <autoFilter ref="A3:P35">
    <filterColumn colId="9" hiddenButton="0" showButton="1">
      <filters>
        <filter val="244-ĐCK/KTG"/>
        <filter val="247-ĐCK/KTG"/>
      </filters>
    </filterColumn>
  </autoFilter>
  <mergeCells count="72">
    <mergeCell ref="G52:G53"/>
    <mergeCell ref="A48:A49"/>
    <mergeCell ref="E43:E44"/>
    <mergeCell ref="G43:G44"/>
    <mergeCell ref="A12:A14"/>
    <mergeCell ref="E48:E49"/>
    <mergeCell ref="O43:O45"/>
    <mergeCell ref="O12:O14"/>
    <mergeCell ref="B52:B53"/>
    <mergeCell ref="G48:G49"/>
    <mergeCell ref="D52:D53"/>
    <mergeCell ref="N50:N51"/>
    <mergeCell ref="B46:B47"/>
    <mergeCell ref="N46:N47"/>
    <mergeCell ref="D46:D47"/>
    <mergeCell ref="P46:P47"/>
    <mergeCell ref="A50:A51"/>
    <mergeCell ref="O54:O55"/>
    <mergeCell ref="P12:P14"/>
    <mergeCell ref="N52:N53"/>
    <mergeCell ref="B48:B49"/>
    <mergeCell ref="A43:A45"/>
    <mergeCell ref="D48:D49"/>
    <mergeCell ref="B23:B26"/>
    <mergeCell ref="A46:A47"/>
    <mergeCell ref="A37:A38"/>
    <mergeCell ref="G37:G38"/>
    <mergeCell ref="O50:O51"/>
    <mergeCell ref="B34:B35"/>
    <mergeCell ref="E46:E47"/>
    <mergeCell ref="F50:F51"/>
    <mergeCell ref="B19:B20"/>
    <mergeCell ref="B37:B38"/>
    <mergeCell ref="E54:E55"/>
    <mergeCell ref="N19:N20"/>
    <mergeCell ref="N48:N49"/>
    <mergeCell ref="N23:N26"/>
    <mergeCell ref="G46:G47"/>
    <mergeCell ref="D43:D44"/>
    <mergeCell ref="A23:A26"/>
    <mergeCell ref="O52:O53"/>
    <mergeCell ref="F43:F44"/>
    <mergeCell ref="B43:B45"/>
    <mergeCell ref="B12:B14"/>
    <mergeCell ref="F52:F53"/>
    <mergeCell ref="O46:O47"/>
    <mergeCell ref="D37:D38"/>
    <mergeCell ref="D50:D51"/>
    <mergeCell ref="F37:F38"/>
    <mergeCell ref="F46:F47"/>
    <mergeCell ref="E50:E51"/>
    <mergeCell ref="G54:G55"/>
    <mergeCell ref="N54:N55"/>
    <mergeCell ref="G50:G51"/>
    <mergeCell ref="A19:A20"/>
    <mergeCell ref="D54:D55"/>
    <mergeCell ref="F48:F49"/>
    <mergeCell ref="O19:O20"/>
    <mergeCell ref="O48:O49"/>
    <mergeCell ref="N43:N45"/>
    <mergeCell ref="O57:O60"/>
    <mergeCell ref="O23:O26"/>
    <mergeCell ref="A52:A53"/>
    <mergeCell ref="A34:A35"/>
    <mergeCell ref="A28:A29"/>
    <mergeCell ref="F54:F55"/>
    <mergeCell ref="O29:O31"/>
    <mergeCell ref="O34:O35"/>
    <mergeCell ref="E37:E38"/>
    <mergeCell ref="B50:B51"/>
    <mergeCell ref="O37:O38"/>
    <mergeCell ref="E52:E53"/>
  </mergeCells>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2025-01-03T01:01:41Z</dcterms:created>
  <dcterms:modified xsi:type="dcterms:W3CDTF">2026-04-20T16:54:52Z</dcterms:modified>
  <cp:lastModifiedBy>Admin</cp:lastModifiedBy>
  <cp:lastPrinted>2025-06-19T12:28:14Z</cp:lastPrinted>
</cp:coreProperties>
</file>